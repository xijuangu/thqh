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10"/>
  </bookViews>
  <sheets>
    <sheet name="数据" sheetId="1" r:id="rId1"/>
    <sheet name="数据表" sheetId="2" r:id="rId2"/>
  </sheets>
  <externalReferences>
    <externalReference r:id="rId4"/>
  </externalReferenc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<sst xmlns="http://schemas.openxmlformats.org/spreadsheetml/2006/main" count="349" uniqueCount="165">
  <si>
    <t>月份</t>
  </si>
  <si>
    <t>全部</t>
  </si>
  <si>
    <t>特殊法人</t>
  </si>
  <si>
    <t>自然人</t>
  </si>
  <si>
    <t>法人</t>
  </si>
  <si>
    <t>集团客户</t>
  </si>
  <si>
    <t>非集团客户</t>
  </si>
  <si>
    <t>集团占比</t>
  </si>
  <si>
    <t>期末权益(万元）</t>
  </si>
  <si>
    <t>权益变动(万元）</t>
  </si>
  <si>
    <t>环比</t>
  </si>
  <si>
    <t>净入金（万元）</t>
  </si>
  <si>
    <t>盈亏（万元）</t>
  </si>
  <si>
    <t>日均持仓量（万手）</t>
  </si>
  <si>
    <t>成交数量（万手）</t>
  </si>
  <si>
    <t>日均成交量（万手）</t>
  </si>
  <si>
    <t>成交持仓比</t>
  </si>
  <si>
    <t>交易日</t>
  </si>
  <si>
    <t>开户数</t>
  </si>
  <si>
    <t>客户总数</t>
  </si>
  <si>
    <t>交易客户数</t>
  </si>
  <si>
    <t>销户数</t>
  </si>
  <si>
    <t>手续费（万元）</t>
  </si>
  <si>
    <t>留存手续费（万元）</t>
  </si>
  <si>
    <t>辅助列1</t>
  </si>
  <si>
    <t>辅助列2</t>
  </si>
  <si>
    <t>2401W1</t>
  </si>
  <si>
    <t>2401W2</t>
  </si>
  <si>
    <t>2401W3</t>
  </si>
  <si>
    <t>2401W4</t>
  </si>
  <si>
    <t>2402W1</t>
  </si>
  <si>
    <t>2402W2</t>
  </si>
  <si>
    <t>2402W4</t>
  </si>
  <si>
    <t>2403W1</t>
  </si>
  <si>
    <t>2403W2</t>
  </si>
  <si>
    <t>2403W3</t>
  </si>
  <si>
    <t>2403W4</t>
  </si>
  <si>
    <t>2403W5</t>
  </si>
  <si>
    <t>2404W1</t>
  </si>
  <si>
    <t>2404W2</t>
  </si>
  <si>
    <t>2404W3</t>
  </si>
  <si>
    <t>2404W4</t>
  </si>
  <si>
    <t>2405W1</t>
  </si>
  <si>
    <t>2405W2</t>
  </si>
  <si>
    <t>2405W3</t>
  </si>
  <si>
    <t>2405W4</t>
  </si>
  <si>
    <t>2405W5</t>
  </si>
  <si>
    <t>2406W1</t>
  </si>
  <si>
    <t>2406W2</t>
  </si>
  <si>
    <t>2406W3</t>
  </si>
  <si>
    <t>2406W4</t>
  </si>
  <si>
    <t>2407W1</t>
  </si>
  <si>
    <t>2407W2</t>
  </si>
  <si>
    <t>2407W3</t>
  </si>
  <si>
    <t>2407W4</t>
  </si>
  <si>
    <t>2408W1</t>
  </si>
  <si>
    <t>2408W2</t>
  </si>
  <si>
    <t>2408W3</t>
  </si>
  <si>
    <t>2408W4</t>
  </si>
  <si>
    <t>2408W5</t>
  </si>
  <si>
    <t>2409W1</t>
  </si>
  <si>
    <t>2409W2</t>
  </si>
  <si>
    <t>2409W3</t>
  </si>
  <si>
    <t>2409W4</t>
  </si>
  <si>
    <t>2410W2</t>
  </si>
  <si>
    <t>2410W3</t>
  </si>
  <si>
    <t>2410W4</t>
  </si>
  <si>
    <t>2411W1</t>
  </si>
  <si>
    <t>2411W2</t>
  </si>
  <si>
    <t>2411W3</t>
  </si>
  <si>
    <t>2411W4</t>
  </si>
  <si>
    <t>2411W5</t>
  </si>
  <si>
    <t>2412W1</t>
  </si>
  <si>
    <t>2412W2</t>
  </si>
  <si>
    <t>2412W3</t>
  </si>
  <si>
    <t>2412W4</t>
  </si>
  <si>
    <t>2501W1</t>
  </si>
  <si>
    <t>2501W2</t>
  </si>
  <si>
    <t>2501W3</t>
  </si>
  <si>
    <t>2501W4</t>
  </si>
  <si>
    <t>2502W1</t>
  </si>
  <si>
    <t>2502W2</t>
  </si>
  <si>
    <t>2502W3</t>
  </si>
  <si>
    <t>2502W4</t>
  </si>
  <si>
    <t>2503W1</t>
  </si>
  <si>
    <t>2503W2</t>
  </si>
  <si>
    <t>2503W3</t>
  </si>
  <si>
    <t>2503W4</t>
  </si>
  <si>
    <t>2504W1</t>
  </si>
  <si>
    <t>2504W2</t>
  </si>
  <si>
    <t>2504W3</t>
  </si>
  <si>
    <t>2504W4</t>
  </si>
  <si>
    <t>2505W1</t>
  </si>
  <si>
    <t>2505W2</t>
  </si>
  <si>
    <t>2505W3</t>
  </si>
  <si>
    <t>2505W4</t>
  </si>
  <si>
    <t>2505W5</t>
  </si>
  <si>
    <t>2506W1</t>
  </si>
  <si>
    <t>2506W2</t>
  </si>
  <si>
    <t>2506W3</t>
  </si>
  <si>
    <t>2506W4</t>
  </si>
  <si>
    <t>2507W1</t>
  </si>
  <si>
    <t>2507W2</t>
  </si>
  <si>
    <t>2507W3</t>
  </si>
  <si>
    <t>2507W4</t>
  </si>
  <si>
    <t>2508W1</t>
  </si>
  <si>
    <t>2508W2</t>
  </si>
  <si>
    <t>2508W3</t>
  </si>
  <si>
    <t>2508W4</t>
  </si>
  <si>
    <t>2508W5</t>
  </si>
  <si>
    <t xml:space="preserve"> </t>
  </si>
  <si>
    <t>周</t>
  </si>
  <si>
    <t>客户属性日均权益（亿元）</t>
  </si>
  <si>
    <t xml:space="preserve"> 全部</t>
  </si>
  <si>
    <t>机构</t>
  </si>
  <si>
    <t>个人</t>
  </si>
  <si>
    <t>产业</t>
  </si>
  <si>
    <t>集团日均权益(亿元）</t>
  </si>
  <si>
    <t>自开发客户</t>
  </si>
  <si>
    <t xml:space="preserve"> 集团客户</t>
  </si>
  <si>
    <t>自开发占比</t>
  </si>
  <si>
    <t>客户期末权益（亿元）</t>
  </si>
  <si>
    <t xml:space="preserve"> 期末权益(亿元）</t>
  </si>
  <si>
    <t xml:space="preserve"> 净入金（万元）</t>
  </si>
  <si>
    <t xml:space="preserve"> 盈亏（万元）</t>
  </si>
  <si>
    <t xml:space="preserve"> 辅助列1</t>
  </si>
  <si>
    <t xml:space="preserve"> 辅助列2</t>
  </si>
  <si>
    <t xml:space="preserve"> 日均成交量（万手）</t>
  </si>
  <si>
    <t xml:space="preserve"> 日均持仓量（万手）</t>
  </si>
  <si>
    <t xml:space="preserve"> 成交持仓比</t>
  </si>
  <si>
    <t>客户数量</t>
  </si>
  <si>
    <t xml:space="preserve"> 开户数</t>
  </si>
  <si>
    <t xml:space="preserve"> 客户总数</t>
  </si>
  <si>
    <t xml:space="preserve"> 交易客户数</t>
  </si>
  <si>
    <t xml:space="preserve"> 手续费（万元）</t>
  </si>
  <si>
    <t xml:space="preserve"> 留存手续费（万元）</t>
  </si>
  <si>
    <t>行标签</t>
  </si>
  <si>
    <t>代码</t>
  </si>
  <si>
    <t>乙二醇</t>
  </si>
  <si>
    <t>聚氯乙烯</t>
  </si>
  <si>
    <t>涤纶短纤</t>
  </si>
  <si>
    <t>中证1000股指期货</t>
  </si>
  <si>
    <t>苯乙烯</t>
  </si>
  <si>
    <t>对二甲苯期货</t>
  </si>
  <si>
    <t>玉米</t>
  </si>
  <si>
    <t>黄金</t>
  </si>
  <si>
    <t>聚乙烯</t>
  </si>
  <si>
    <t>玻璃</t>
  </si>
  <si>
    <t>铁矿石</t>
  </si>
  <si>
    <t>工业硅</t>
  </si>
  <si>
    <t>碳酸锂期货</t>
  </si>
  <si>
    <t>白银</t>
  </si>
  <si>
    <t>鲜鸡蛋</t>
  </si>
  <si>
    <t>精对苯二甲酸</t>
  </si>
  <si>
    <t>成交数量（手）</t>
  </si>
  <si>
    <t>菜粕</t>
  </si>
  <si>
    <t>纯碱</t>
  </si>
  <si>
    <t>螺纹钢</t>
  </si>
  <si>
    <t>焦煤</t>
  </si>
  <si>
    <t>烧碱</t>
  </si>
  <si>
    <t>其他</t>
  </si>
  <si>
    <t>平均持仓量（手）</t>
  </si>
  <si>
    <t>液化石油气</t>
  </si>
  <si>
    <t>客户类别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</si>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</sst>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#"/>
    <numFmt numFmtId="178" formatCode="0.0"/>
    <numFmt numFmtId="179" formatCode="#,###.00"/>
  </numFmts>
  <fonts count="28">
    <font>
      <sz val="11"/>
      <color indexed="8"/>
      <name val="等线"/>
      <charset val="134"/>
      <scheme val="minor"/>
    </font>
    <font>
      <b/>
      <sz val="14"/>
      <color indexed="8"/>
      <name val="等线"/>
      <charset val="134"/>
      <scheme val="minor"/>
    </font>
    <font>
      <sz val="10"/>
      <name val="Calibri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color indexed="8"/>
      <name val="宋体"/>
      <charset val="134"/>
    </font>
    <font>
      <sz val="11"/>
      <color indexed="8"/>
      <name val="等线"/>
      <charset val="134"/>
    </font>
    <font>
      <sz val="11"/>
      <color indexed="8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3" fontId="0" fillId="0" borderId="0" xfId="0" applyNumberFormat="1">
      <alignment vertical="center"/>
    </xf>
    <xf numFmtId="9" fontId="0" fillId="0" borderId="0" xfId="3" applyFont="1">
      <alignment vertical="center"/>
    </xf>
    <xf numFmtId="1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2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/>
    </xf>
    <xf numFmtId="177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43" fontId="0" fillId="0" borderId="0" xfId="1" applyFont="1">
      <alignment vertical="center"/>
    </xf>
    <xf numFmtId="178" fontId="0" fillId="0" borderId="0" xfId="0" applyNumberFormat="1">
      <alignment vertical="center"/>
    </xf>
    <xf numFmtId="177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9" fontId="6" fillId="0" borderId="0" xfId="3" applyFont="1">
      <alignment vertical="center"/>
    </xf>
    <xf numFmtId="9" fontId="7" fillId="0" borderId="0" xfId="3" applyFont="1">
      <alignment vertical="center"/>
    </xf>
    <xf numFmtId="179" fontId="2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numFmt numFmtId="1" formatCode="0"/>
    </dxf>
    <dxf>
      <numFmt numFmtId="9" formatCode="0%"/>
    </dxf>
    <dxf>
      <numFmt numFmtId="2" formatCode="0.00"/>
    </dxf>
    <dxf>
      <numFmt numFmtId="1" formatCode="0"/>
    </dxf>
    <dxf>
      <numFmt numFmtId="1" formatCode="0"/>
    </dxf>
    <dxf>
      <numFmt numFmtId="43" formatCode="_ * #,##0.00_ ;_ * \-#,##0.00_ ;_ * &quot;-&quot;??_ ;_ @_ "/>
    </dxf>
    <dxf>
      <numFmt numFmtId="43" formatCode="_ * #,##0.00_ ;_ * \-#,##0.00_ ;_ * &quot;-&quot;??_ ;_ @_ "/>
    </dxf>
    <dxf>
      <numFmt numFmtId="1" formatCode="0"/>
    </dxf>
    <dxf>
      <numFmt numFmtId="43" formatCode="_ * #,##0.00_ ;_ * \-#,##0.00_ ;_ * &quot;-&quot;??_ ;_ @_ "/>
    </dxf>
    <dxf>
      <alignment horizontal="left" vertic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name val="等线"/>
        <scheme val="none"/>
        <family val="2"/>
        <b val="0"/>
        <i val="0"/>
        <strike val="0"/>
        <u val="none"/>
        <sz val="11"/>
        <color indexed="8"/>
      </font>
    </dxf>
    <dxf>
      <numFmt numFmtId="1" formatCode="0"/>
    </dxf>
    <dxf>
      <numFmt numFmtId="176" formatCode="0.0%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78" formatCode="0.0"/>
    </dxf>
    <dxf>
      <numFmt numFmtId="178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[周图表.xlsx]数据表!数据透视表1</c:name>
    <c:fmtId val="10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客户属性日均权益（亿元）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数据表!$B$2</c:f>
              <c:strCache>
                <c:ptCount val="1"/>
                <c:pt idx="0">
                  <c:v> 全部</c:v>
                </c:pt>
              </c:strCache>
            </c:strRef>
          </c:tx>
          <c:spPr>
            <a:noFill/>
            <a:ln w="19050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数据表!$A$3:$A$14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数据表!$B$3:$B$14</c:f>
              <c:numCache>
                <c:formatCode>_ * #,##0.00_ ;_ * \-#,##0.00_ ;_ * "-"??_ ;_ @_ </c:formatCode>
                <c:ptCount val="12"/>
                <c:pt idx="0">
                  <c:v>4.859431659091</c:v>
                </c:pt>
                <c:pt idx="1">
                  <c:v>4.853934604211</c:v>
                </c:pt>
                <c:pt idx="2">
                  <c:v>4.852718502371</c:v>
                </c:pt>
                <c:pt idx="3">
                  <c:v>4.508602281631</c:v>
                </c:pt>
                <c:pt idx="4">
                  <c:v>4.458581024211</c:v>
                </c:pt>
                <c:pt idx="5">
                  <c:v>4.542634450391</c:v>
                </c:pt>
                <c:pt idx="6">
                  <c:v>4.737539283091</c:v>
                </c:pt>
                <c:pt idx="7">
                  <c:v>4.720205321631</c:v>
                </c:pt>
                <c:pt idx="8">
                  <c:v>4.782672672831</c:v>
                </c:pt>
                <c:pt idx="9">
                  <c:v>4.772839505171</c:v>
                </c:pt>
                <c:pt idx="10">
                  <c:v>4.683067623611</c:v>
                </c:pt>
                <c:pt idx="11">
                  <c:v>4.289520061371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1848407215"/>
        <c:axId val="1848398063"/>
      </c:barChart>
      <c:barChart>
        <c:barDir val="col"/>
        <c:grouping val="clustered"/>
        <c:varyColors val="0"/>
        <c:ser>
          <c:idx val="1"/>
          <c:order val="1"/>
          <c:tx>
            <c:strRef>
              <c:f>数据表!$C$2</c:f>
              <c:strCache>
                <c:ptCount val="1"/>
                <c:pt idx="0">
                  <c:v>机构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数据表!$A$3:$A$14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数据表!$C$3:$C$14</c:f>
              <c:numCache>
                <c:formatCode>_ * #,##0.00_ ;_ * \-#,##0.00_ ;_ * "-"??_ ;_ @_ </c:formatCode>
                <c:ptCount val="12"/>
                <c:pt idx="0">
                  <c:v>2.070127741551</c:v>
                </c:pt>
                <c:pt idx="1">
                  <c:v>2.084218755171</c:v>
                </c:pt>
                <c:pt idx="2">
                  <c:v>2.056278858431</c:v>
                </c:pt>
                <c:pt idx="3">
                  <c:v>2.007278088171</c:v>
                </c:pt>
                <c:pt idx="4">
                  <c:v>1.954553533031</c:v>
                </c:pt>
                <c:pt idx="5">
                  <c:v>1.959901242791</c:v>
                </c:pt>
                <c:pt idx="6">
                  <c:v>1.979339636531</c:v>
                </c:pt>
                <c:pt idx="7">
                  <c:v>1.943078108631</c:v>
                </c:pt>
                <c:pt idx="8">
                  <c:v>1.873207754971</c:v>
                </c:pt>
                <c:pt idx="9">
                  <c:v>1.839438316491</c:v>
                </c:pt>
                <c:pt idx="10">
                  <c:v>1.810292222831</c:v>
                </c:pt>
                <c:pt idx="11">
                  <c:v>1.793227835631</c:v>
                </c:pt>
              </c:numCache>
            </c:numRef>
          </c:val>
        </c:ser>
        <c:ser>
          <c:idx val="2"/>
          <c:order val="2"/>
          <c:tx>
            <c:strRef>
              <c:f>数据表!$D$2</c:f>
              <c:strCache>
                <c:ptCount val="1"/>
                <c:pt idx="0">
                  <c:v>个人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数据表!$A$3:$A$14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数据表!$D$3:$D$14</c:f>
              <c:numCache>
                <c:formatCode>_ * #,##0.00_ ;_ * \-#,##0.00_ ;_ * "-"??_ ;_ @_ </c:formatCode>
                <c:ptCount val="12"/>
                <c:pt idx="0">
                  <c:v>1.49550016656</c:v>
                </c:pt>
                <c:pt idx="1">
                  <c:v>1.48705975734</c:v>
                </c:pt>
                <c:pt idx="2">
                  <c:v>1.51776932594</c:v>
                </c:pt>
                <c:pt idx="3">
                  <c:v>1.52946244812</c:v>
                </c:pt>
                <c:pt idx="4">
                  <c:v>1.5190207929</c:v>
                </c:pt>
                <c:pt idx="5">
                  <c:v>1.50891208888</c:v>
                </c:pt>
                <c:pt idx="6">
                  <c:v>1.66572974436</c:v>
                </c:pt>
                <c:pt idx="7">
                  <c:v>1.59550139446</c:v>
                </c:pt>
                <c:pt idx="8">
                  <c:v>1.63275242126</c:v>
                </c:pt>
                <c:pt idx="9">
                  <c:v>1.39399956942</c:v>
                </c:pt>
                <c:pt idx="10">
                  <c:v>1.32428469832</c:v>
                </c:pt>
                <c:pt idx="11">
                  <c:v>1.28985823424</c:v>
                </c:pt>
              </c:numCache>
            </c:numRef>
          </c:val>
        </c:ser>
        <c:ser>
          <c:idx val="3"/>
          <c:order val="3"/>
          <c:tx>
            <c:strRef>
              <c:f>数据表!$E$2</c:f>
              <c:strCache>
                <c:ptCount val="1"/>
                <c:pt idx="0">
                  <c:v>产业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Pt>
            <c:idx val="6"/>
            <c:invertIfNegative val="0"/>
            <c:bubble3D val="0"/>
          </c:dPt>
          <c:dPt>
            <c:idx val="10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数据表!$A$3:$A$14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数据表!$E$3:$E$14</c:f>
              <c:numCache>
                <c:formatCode>_ * #,##0.00_ ;_ * \-#,##0.00_ ;_ * "-"??_ ;_ @_ </c:formatCode>
                <c:ptCount val="12"/>
                <c:pt idx="0">
                  <c:v>1.29380375098</c:v>
                </c:pt>
                <c:pt idx="1">
                  <c:v>1.2826560917</c:v>
                </c:pt>
                <c:pt idx="2">
                  <c:v>1.278670318</c:v>
                </c:pt>
                <c:pt idx="3">
                  <c:v>0.97186174534</c:v>
                </c:pt>
                <c:pt idx="4">
                  <c:v>0.98500669828</c:v>
                </c:pt>
                <c:pt idx="5">
                  <c:v>1.07382111872</c:v>
                </c:pt>
                <c:pt idx="6">
                  <c:v>1.0924699022</c:v>
                </c:pt>
                <c:pt idx="7">
                  <c:v>1.18162581854</c:v>
                </c:pt>
                <c:pt idx="8">
                  <c:v>1.2767124966</c:v>
                </c:pt>
                <c:pt idx="9">
                  <c:v>1.53940161926</c:v>
                </c:pt>
                <c:pt idx="10">
                  <c:v>1.54849070246</c:v>
                </c:pt>
                <c:pt idx="11">
                  <c:v>1.2064339915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364100624"/>
        <c:axId val="1364105616"/>
      </c:barChart>
      <c:catAx>
        <c:axId val="184840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8398063"/>
        <c:crosses val="autoZero"/>
        <c:auto val="1"/>
        <c:lblAlgn val="ctr"/>
        <c:lblOffset val="100"/>
        <c:noMultiLvlLbl val="0"/>
      </c:catAx>
      <c:valAx>
        <c:axId val="1848398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8407215"/>
        <c:crosses val="autoZero"/>
        <c:crossBetween val="between"/>
      </c:valAx>
      <c:catAx>
        <c:axId val="1364100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4105616"/>
        <c:crosses val="autoZero"/>
        <c:auto val="1"/>
        <c:lblAlgn val="ctr"/>
        <c:lblOffset val="100"/>
        <c:noMultiLvlLbl val="0"/>
      </c:catAx>
      <c:valAx>
        <c:axId val="1364105616"/>
        <c:scaling>
          <c:orientation val="minMax"/>
          <c:max val="6"/>
          <c:min val="0"/>
        </c:scaling>
        <c:delete val="0"/>
        <c:axPos val="r"/>
        <c:numFmt formatCode="_ * #,##0.00_ ;_ * \-#,##0.0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6410062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ea8bf9-6e31-4afd-813e-bff5b51b88a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[周图表.xlsx]数据表!数据透视表2</c:name>
    <c:fmtId val="10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自开发客户日均权益</a:t>
            </a:r>
            <a:r>
              <a:rPr lang="en-US"/>
              <a:t>(</a:t>
            </a:r>
            <a:r>
              <a:rPr lang="zh-CN"/>
              <a:t>亿元）</a:t>
            </a:r>
            <a:endParaRPr lang="zh-CN"/>
          </a:p>
        </c:rich>
      </c:tx>
      <c:layout>
        <c:manualLayout>
          <c:xMode val="edge"/>
          <c:yMode val="edge"/>
          <c:x val="0.328156259304014"/>
          <c:y val="0.020860486870623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数据表!$B$27</c:f>
              <c:strCache>
                <c:ptCount val="1"/>
                <c:pt idx="0">
                  <c:v> 全部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16200000" scaled="1"/>
              <a:tileRect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6200000" scaled="1"/>
                <a:tileRect/>
              </a:gra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6200000" scaled="1"/>
                <a:tileRect/>
              </a:gra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16200000" scaled="1"/>
                <a:tileRect/>
              </a:gradFill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invertIfNegative val="0"/>
            <c:bubble3D val="0"/>
          </c:dPt>
          <c:dPt>
            <c:idx val="4"/>
            <c:invertIfNegative val="0"/>
            <c:bubble3D val="0"/>
          </c:dPt>
          <c:dPt>
            <c:idx val="5"/>
            <c:invertIfNegative val="0"/>
            <c:bubble3D val="0"/>
          </c:dPt>
          <c:dPt>
            <c:idx val="6"/>
            <c:invertIfNegative val="0"/>
            <c:bubble3D val="0"/>
          </c:dPt>
          <c:dPt>
            <c:idx val="7"/>
            <c:invertIfNegative val="0"/>
            <c:bubble3D val="0"/>
          </c:dPt>
          <c:dPt>
            <c:idx val="8"/>
            <c:invertIfNegative val="0"/>
            <c:bubble3D val="0"/>
          </c:dPt>
          <c:dPt>
            <c:idx val="9"/>
            <c:invertIfNegative val="0"/>
            <c:bubble3D val="0"/>
          </c:dPt>
          <c:dPt>
            <c:idx val="10"/>
            <c:invertIfNegative val="0"/>
            <c:bubble3D val="0"/>
          </c:dPt>
          <c:dPt>
            <c:idx val="11"/>
            <c:invertIfNegative val="0"/>
            <c:bubble3D val="0"/>
          </c:dPt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2f34cc9c-ad3a-41a9-96da-6b7c8d0771d4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d06de9db-6695-4c37-82e6-bfae8c57f3b9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85e62454-a5f9-4a3e-b11b-31d961ac9242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51053085-fb53-4840-bef0-020d47557394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026bfd3f-dd08-46e0-8991-5eb84238a02f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1b8a39c3-1aee-48db-9547-4a9d8f5940de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c746889f-74aa-4ef8-ae98-72ba41c07829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d2898774-4a20-4fa9-861e-1f029d1a3bba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cb393963-c5d6-48be-9d12-529615eae6de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0062ac17-3a65-4eb1-83a6-64afcaa933e5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9f0fa5e8-5697-4d71-9a93-218d600d2360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06f244bf-ce99-4e04-a7e0-d4b775c0c933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数据表!$A$28:$A$39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数据表!$B$28:$B$39</c:f>
              <c:numCache>
                <c:formatCode>_ * #,##0.00_ ;_ * \-#,##0.00_ ;_ * "-"??_ ;_ @_ </c:formatCode>
                <c:ptCount val="12"/>
                <c:pt idx="0">
                  <c:v>4.859431659091</c:v>
                </c:pt>
                <c:pt idx="1">
                  <c:v>4.853934604211</c:v>
                </c:pt>
                <c:pt idx="2">
                  <c:v>4.852718502371</c:v>
                </c:pt>
                <c:pt idx="3">
                  <c:v>4.508602281631</c:v>
                </c:pt>
                <c:pt idx="4">
                  <c:v>4.458581024211</c:v>
                </c:pt>
                <c:pt idx="5">
                  <c:v>4.542634450391</c:v>
                </c:pt>
                <c:pt idx="6">
                  <c:v>4.737539283091</c:v>
                </c:pt>
                <c:pt idx="7">
                  <c:v>4.720205321631</c:v>
                </c:pt>
                <c:pt idx="8">
                  <c:v>4.782672672831</c:v>
                </c:pt>
                <c:pt idx="9">
                  <c:v>4.772839505171</c:v>
                </c:pt>
                <c:pt idx="10">
                  <c:v>4.683067623611</c:v>
                </c:pt>
                <c:pt idx="11">
                  <c:v>4.289520061371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数据表!$E$28:$E$39</c15:f>
                <c15:dlblRangeCache>
                  <c:ptCount val="12"/>
                  <c:pt idx="0">
                    <c:v>74%</c:v>
                  </c:pt>
                  <c:pt idx="1">
                    <c:v>74%</c:v>
                  </c:pt>
                  <c:pt idx="2">
                    <c:v>74%</c:v>
                  </c:pt>
                  <c:pt idx="3">
                    <c:v>79%</c:v>
                  </c:pt>
                  <c:pt idx="4">
                    <c:v>79%</c:v>
                  </c:pt>
                  <c:pt idx="5">
                    <c:v>77%</c:v>
                  </c:pt>
                  <c:pt idx="6">
                    <c:v>78%</c:v>
                  </c:pt>
                  <c:pt idx="7">
                    <c:v>76%</c:v>
                  </c:pt>
                  <c:pt idx="8">
                    <c:v>74%</c:v>
                  </c:pt>
                  <c:pt idx="9">
                    <c:v>68%</c:v>
                  </c:pt>
                  <c:pt idx="10">
                    <c:v>67%</c:v>
                  </c:pt>
                  <c:pt idx="11">
                    <c:v>72%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787899151"/>
        <c:axId val="1787902895"/>
      </c:barChart>
      <c:barChart>
        <c:barDir val="col"/>
        <c:grouping val="stacked"/>
        <c:varyColors val="0"/>
        <c:ser>
          <c:idx val="1"/>
          <c:order val="1"/>
          <c:tx>
            <c:strRef>
              <c:f>数据表!$C$27</c:f>
              <c:strCache>
                <c:ptCount val="1"/>
                <c:pt idx="0">
                  <c:v>自开发客户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数据表!$A$28:$A$39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数据表!$C$28:$C$39</c:f>
              <c:numCache>
                <c:formatCode>_ * #,##0.00_ ;_ * \-#,##0.00_ ;_ * "-"??_ ;_ @_ </c:formatCode>
                <c:ptCount val="12"/>
                <c:pt idx="0">
                  <c:v>3.596217587931</c:v>
                </c:pt>
                <c:pt idx="1">
                  <c:v>3.601943633271</c:v>
                </c:pt>
                <c:pt idx="2">
                  <c:v>3.604637174391</c:v>
                </c:pt>
                <c:pt idx="3">
                  <c:v>3.568653943191</c:v>
                </c:pt>
                <c:pt idx="4">
                  <c:v>3.506414381711</c:v>
                </c:pt>
                <c:pt idx="5">
                  <c:v>3.501056555211</c:v>
                </c:pt>
                <c:pt idx="6">
                  <c:v>3.674498099051</c:v>
                </c:pt>
                <c:pt idx="7">
                  <c:v>3.569795636031</c:v>
                </c:pt>
                <c:pt idx="8">
                  <c:v>3.536421585831</c:v>
                </c:pt>
                <c:pt idx="9">
                  <c:v>3.261719120551</c:v>
                </c:pt>
                <c:pt idx="10">
                  <c:v>3.159341716651</c:v>
                </c:pt>
                <c:pt idx="11">
                  <c:v>3.105429699451</c:v>
                </c:pt>
              </c:numCache>
            </c:numRef>
          </c:val>
        </c:ser>
        <c:ser>
          <c:idx val="2"/>
          <c:order val="2"/>
          <c:tx>
            <c:strRef>
              <c:f>数据表!$D$27</c:f>
              <c:strCache>
                <c:ptCount val="1"/>
                <c:pt idx="0">
                  <c:v> 集团客户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数据表!$A$28:$A$39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数据表!$D$28:$D$39</c:f>
              <c:numCache>
                <c:formatCode>_ * #,##0.00_ ;_ * \-#,##0.00_ ;_ * "-"??_ ;_ @_ </c:formatCode>
                <c:ptCount val="12"/>
                <c:pt idx="0">
                  <c:v>1.26321407116</c:v>
                </c:pt>
                <c:pt idx="1">
                  <c:v>1.25199097094</c:v>
                </c:pt>
                <c:pt idx="2">
                  <c:v>1.24808132798</c:v>
                </c:pt>
                <c:pt idx="3">
                  <c:v>0.93994833844</c:v>
                </c:pt>
                <c:pt idx="4">
                  <c:v>0.9521666425</c:v>
                </c:pt>
                <c:pt idx="5">
                  <c:v>1.04157789518</c:v>
                </c:pt>
                <c:pt idx="6">
                  <c:v>1.06304118404</c:v>
                </c:pt>
                <c:pt idx="7">
                  <c:v>1.1504096856</c:v>
                </c:pt>
                <c:pt idx="8">
                  <c:v>1.246251087</c:v>
                </c:pt>
                <c:pt idx="9">
                  <c:v>1.51112038462</c:v>
                </c:pt>
                <c:pt idx="10">
                  <c:v>1.52372590696</c:v>
                </c:pt>
                <c:pt idx="11">
                  <c:v>1.18409036192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250659743"/>
        <c:axId val="1250659327"/>
      </c:barChart>
      <c:catAx>
        <c:axId val="178789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7902895"/>
        <c:crosses val="autoZero"/>
        <c:auto val="1"/>
        <c:lblAlgn val="ctr"/>
        <c:lblOffset val="100"/>
        <c:noMultiLvlLbl val="0"/>
      </c:catAx>
      <c:valAx>
        <c:axId val="17879028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7899151"/>
        <c:crosses val="autoZero"/>
        <c:crossBetween val="between"/>
      </c:valAx>
      <c:catAx>
        <c:axId val="12506597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0659327"/>
        <c:crosses val="autoZero"/>
        <c:auto val="1"/>
        <c:lblAlgn val="ctr"/>
        <c:lblOffset val="100"/>
        <c:noMultiLvlLbl val="0"/>
      </c:catAx>
      <c:valAx>
        <c:axId val="1250659327"/>
        <c:scaling>
          <c:orientation val="minMax"/>
        </c:scaling>
        <c:delete val="0"/>
        <c:axPos val="r"/>
        <c:numFmt formatCode="_ * #,##0.00_ ;_ * \-#,##0.0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0659743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67b2ae-cf08-4623-80f0-d780ef81edb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[周图表.xlsx]数据表!数据透视表3</c:name>
    <c:fmtId val="8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客户期末权益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数据表!$B$48</c:f>
              <c:strCache>
                <c:ptCount val="1"/>
                <c:pt idx="0">
                  <c:v> 期末权益(亿元）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数据表!$A$49:$A$60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数据表!$B$49:$B$60</c:f>
              <c:numCache>
                <c:formatCode>_ * #,##0.00_ ;_ * \-#,##0.00_ ;_ * "-"??_ ;_ @_ </c:formatCode>
                <c:ptCount val="12"/>
                <c:pt idx="0">
                  <c:v>5.057419974991</c:v>
                </c:pt>
                <c:pt idx="1">
                  <c:v>4.909166531491</c:v>
                </c:pt>
                <c:pt idx="2">
                  <c:v>4.889277188291</c:v>
                </c:pt>
                <c:pt idx="3">
                  <c:v>4.523944454491</c:v>
                </c:pt>
                <c:pt idx="4">
                  <c:v>4.560594817891</c:v>
                </c:pt>
                <c:pt idx="5">
                  <c:v>4.692957551291</c:v>
                </c:pt>
                <c:pt idx="6">
                  <c:v>4.850525449491</c:v>
                </c:pt>
                <c:pt idx="7">
                  <c:v>4.593739927991</c:v>
                </c:pt>
                <c:pt idx="8">
                  <c:v>4.648295378791</c:v>
                </c:pt>
                <c:pt idx="9">
                  <c:v>4.515487158091</c:v>
                </c:pt>
                <c:pt idx="10">
                  <c:v>4.324496951891</c:v>
                </c:pt>
                <c:pt idx="11">
                  <c:v>3.902073281891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2022504607"/>
        <c:axId val="2022505023"/>
      </c:barChart>
      <c:barChart>
        <c:barDir val="col"/>
        <c:grouping val="clustered"/>
        <c:varyColors val="0"/>
        <c:ser>
          <c:idx val="1"/>
          <c:order val="1"/>
          <c:tx>
            <c:strRef>
              <c:f>数据表!$C$48</c:f>
              <c:strCache>
                <c:ptCount val="1"/>
                <c:pt idx="0">
                  <c:v> 净入金（万元）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3"/>
            <c:invertIfNegative val="0"/>
            <c:bubble3D val="0"/>
          </c:dPt>
          <c:dPt>
            <c:idx val="4"/>
            <c:invertIfNegative val="0"/>
            <c:bubble3D val="0"/>
          </c:dPt>
          <c:dPt>
            <c:idx val="5"/>
            <c:invertIfNegative val="0"/>
            <c:bubble3D val="0"/>
          </c:dPt>
          <c:dPt>
            <c:idx val="7"/>
            <c:invertIfNegative val="0"/>
            <c:bubble3D val="0"/>
          </c:dPt>
          <c:dPt>
            <c:idx val="8"/>
            <c:invertIfNegative val="0"/>
            <c:bubble3D val="0"/>
          </c:dPt>
          <c:dPt>
            <c:idx val="9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数据表!$A$49:$A$60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数据表!$C$49:$C$60</c:f>
              <c:numCache>
                <c:formatCode>0</c:formatCode>
                <c:ptCount val="12"/>
                <c:pt idx="0">
                  <c:v>-727.8975</c:v>
                </c:pt>
                <c:pt idx="1">
                  <c:v>-2969.052858</c:v>
                </c:pt>
                <c:pt idx="2">
                  <c:v>1826.052427</c:v>
                </c:pt>
                <c:pt idx="3">
                  <c:v>-3689.996956</c:v>
                </c:pt>
                <c:pt idx="4">
                  <c:v>588.798243000001</c:v>
                </c:pt>
                <c:pt idx="5">
                  <c:v>1372.641865</c:v>
                </c:pt>
                <c:pt idx="6">
                  <c:v>361.984328999996</c:v>
                </c:pt>
                <c:pt idx="7">
                  <c:v>-294.054402</c:v>
                </c:pt>
                <c:pt idx="8">
                  <c:v>888.403238</c:v>
                </c:pt>
                <c:pt idx="9">
                  <c:v>-839.521027000001</c:v>
                </c:pt>
                <c:pt idx="10">
                  <c:v>-3240.45224</c:v>
                </c:pt>
                <c:pt idx="11">
                  <c:v>-2650.153945</c:v>
                </c:pt>
              </c:numCache>
            </c:numRef>
          </c:val>
        </c:ser>
        <c:ser>
          <c:idx val="2"/>
          <c:order val="2"/>
          <c:tx>
            <c:strRef>
              <c:f>数据表!$D$48</c:f>
              <c:strCache>
                <c:ptCount val="1"/>
                <c:pt idx="0">
                  <c:v> 盈亏（万元）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数据表!$A$49:$A$60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数据表!$D$49:$D$60</c:f>
              <c:numCache>
                <c:formatCode>0</c:formatCode>
                <c:ptCount val="12"/>
                <c:pt idx="0">
                  <c:v>3171.156</c:v>
                </c:pt>
                <c:pt idx="1">
                  <c:v>1513.1057</c:v>
                </c:pt>
                <c:pt idx="2">
                  <c:v>-1953.261</c:v>
                </c:pt>
                <c:pt idx="3">
                  <c:v>129.7945</c:v>
                </c:pt>
                <c:pt idx="4">
                  <c:v>-136.003</c:v>
                </c:pt>
                <c:pt idx="5">
                  <c:v>108.2533</c:v>
                </c:pt>
                <c:pt idx="6">
                  <c:v>1366.964</c:v>
                </c:pt>
                <c:pt idx="7">
                  <c:v>-2065.1725</c:v>
                </c:pt>
                <c:pt idx="8">
                  <c:v>-203.6335</c:v>
                </c:pt>
                <c:pt idx="9">
                  <c:v>-405.135</c:v>
                </c:pt>
                <c:pt idx="10">
                  <c:v>1434.818</c:v>
                </c:pt>
                <c:pt idx="11">
                  <c:v>-1658.854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59091408"/>
        <c:axId val="659075600"/>
      </c:barChart>
      <c:lineChart>
        <c:grouping val="standard"/>
        <c:varyColors val="0"/>
        <c:ser>
          <c:idx val="3"/>
          <c:order val="3"/>
          <c:tx>
            <c:strRef>
              <c:f>数据表!$E$48</c:f>
              <c:strCache>
                <c:ptCount val="1"/>
                <c:pt idx="0">
                  <c:v> 辅助列1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</c:dPt>
          <c:dPt>
            <c:idx val="5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</c:dPt>
          <c:dPt>
            <c:idx val="7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</c:dPt>
          <c:dPt>
            <c:idx val="8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753f4a96-0b6b-4145-8ef2-4027524f38dd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ba61322b-ceed-468c-bcca-ed2434eb2754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2869dcc5-a874-4f30-8748-e3af9e8ec3ee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d0bc6bf7-1090-4562-9dd3-70f55dc49391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20fadb7c-9852-46f5-90e0-1ae103bed73b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9cc4272f-973d-4256-ad24-480d6d9357bf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6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b2731a8f-c1de-4de3-9474-5ebf2449580b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7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3cc0382c-9541-4f24-9b05-11efcf1ae246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d75cba6b-41a2-41bd-8a13-6304765d9d9d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8c9c55c2-f6f8-40f5-ae55-d87f45453168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3401ac47-b41d-46c6-bbf0-316e7802afe8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tx>
                <c:rich>
                  <a:bodyPr rot="0" spcFirstLastPara="1" vertOverflow="ellipsis" vert="horz" wrap="square" lIns="38100" tIns="19050" rIns="38100" bIns="19050" anchor="ctr" anchorCtr="1"/>
                  <a:lstStyle/>
                  <a:p>
                    <a:fld id="{a831f1d1-7243-4233-8686-bd6d4ed94abe}" type="CELLRANGE">
                      <a:t>[CELLRANGE]</a:t>
                    </a:fld>
                    <a:endParaRPr lang="zh-CN" altLang="en-US" b="0" i="0" u="none" strike="noStrike" baseline="0">
                      <a:latin typeface="Arial" panose="020B0604020202020204" pitchFamily="7" charset="0"/>
                      <a:ea typeface="Arial" panose="020B0604020202020204" pitchFamily="7" charset="0"/>
                      <a:cs typeface="+mn-ea"/>
                    </a:endParaRP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数据表!$A$49:$A$60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数据表!$E$49:$E$60</c:f>
              <c:numCache>
                <c:formatCode>0</c:formatCode>
                <c:ptCount val="12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数据表!$G$49:$G$60</c15:f>
                <c15:dlblRangeCache>
                  <c:ptCount val="12"/>
                  <c:pt idx="0">
                    <c:v>4.7%</c:v>
                  </c:pt>
                  <c:pt idx="1">
                    <c:v>-2.9%</c:v>
                  </c:pt>
                  <c:pt idx="2">
                    <c:v>-0.4%</c:v>
                  </c:pt>
                  <c:pt idx="3">
                    <c:v>-7.5%</c:v>
                  </c:pt>
                  <c:pt idx="4">
                    <c:v>0.8%</c:v>
                  </c:pt>
                  <c:pt idx="5">
                    <c:v>2.9%</c:v>
                  </c:pt>
                  <c:pt idx="6">
                    <c:v>3.4%</c:v>
                  </c:pt>
                  <c:pt idx="7">
                    <c:v>-5.3%</c:v>
                  </c:pt>
                  <c:pt idx="8">
                    <c:v>1.2%</c:v>
                  </c:pt>
                  <c:pt idx="9">
                    <c:v>-2.9%</c:v>
                  </c:pt>
                  <c:pt idx="10">
                    <c:v>-4.2%</c:v>
                  </c:pt>
                  <c:pt idx="11">
                    <c:v>-9.8%</c:v>
                  </c:pt>
                </c15:dlblRangeCache>
              </c15:datalabelsRange>
            </c:ext>
          </c:extLst>
        </c:ser>
        <c:ser>
          <c:idx val="4"/>
          <c:order val="4"/>
          <c:tx>
            <c:strRef>
              <c:f>数据表!$F$48</c:f>
              <c:strCache>
                <c:ptCount val="1"/>
                <c:pt idx="0">
                  <c:v> 辅助列2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270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forward val="0.5"/>
            <c:backward val="0.5"/>
            <c:dispRSqr val="0"/>
            <c:dispEq val="0"/>
          </c:trendline>
          <c:cat>
            <c:strRef>
              <c:f>数据表!$A$49:$A$60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数据表!$F$49:$F$60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9091408"/>
        <c:axId val="659075600"/>
      </c:lineChart>
      <c:catAx>
        <c:axId val="202250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2505023"/>
        <c:crosses val="autoZero"/>
        <c:auto val="1"/>
        <c:lblAlgn val="ctr"/>
        <c:lblOffset val="100"/>
        <c:noMultiLvlLbl val="0"/>
      </c:catAx>
      <c:valAx>
        <c:axId val="2022505023"/>
        <c:scaling>
          <c:orientation val="minMax"/>
          <c:max val="10"/>
        </c:scaling>
        <c:delete val="0"/>
        <c:axPos val="l"/>
        <c:numFmt formatCode="[&gt;30000]&quot;&quot;;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2504607"/>
        <c:crosses val="autoZero"/>
        <c:crossBetween val="between"/>
      </c:valAx>
      <c:catAx>
        <c:axId val="659091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9075600"/>
        <c:crosses val="autoZero"/>
        <c:auto val="1"/>
        <c:lblAlgn val="ctr"/>
        <c:lblOffset val="100"/>
        <c:noMultiLvlLbl val="0"/>
      </c:catAx>
      <c:valAx>
        <c:axId val="659075600"/>
        <c:scaling>
          <c:orientation val="minMax"/>
          <c:max val="30000"/>
          <c:min val="-80000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909140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d14958-3aa7-4bad-8c9f-40863c6e65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客户数量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数据表!$G$96</c:f>
              <c:strCache>
                <c:ptCount val="1"/>
                <c:pt idx="0">
                  <c:v> 开户数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数据表!$F$97:$F$108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数据表!$G$97:$G$108</c:f>
              <c:numCache>
                <c:formatCode>General</c:formatCode>
                <c:ptCount val="12"/>
                <c:pt idx="0">
                  <c:v>44</c:v>
                </c:pt>
                <c:pt idx="1">
                  <c:v>32</c:v>
                </c:pt>
                <c:pt idx="2">
                  <c:v>29</c:v>
                </c:pt>
                <c:pt idx="3">
                  <c:v>45</c:v>
                </c:pt>
                <c:pt idx="4">
                  <c:v>33</c:v>
                </c:pt>
                <c:pt idx="5">
                  <c:v>35</c:v>
                </c:pt>
                <c:pt idx="6">
                  <c:v>12</c:v>
                </c:pt>
                <c:pt idx="7">
                  <c:v>8</c:v>
                </c:pt>
                <c:pt idx="8">
                  <c:v>3</c:v>
                </c:pt>
                <c:pt idx="9">
                  <c:v>7</c:v>
                </c:pt>
                <c:pt idx="10">
                  <c:v>4</c:v>
                </c:pt>
                <c:pt idx="11">
                  <c:v>9</c:v>
                </c:pt>
              </c:numCache>
            </c:numRef>
          </c:val>
        </c:ser>
        <c:ser>
          <c:idx val="2"/>
          <c:order val="2"/>
          <c:tx>
            <c:strRef>
              <c:f>数据表!$I$96</c:f>
              <c:strCache>
                <c:ptCount val="1"/>
                <c:pt idx="0">
                  <c:v> 交易客户数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数据表!$F$97:$F$108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数据表!$I$97:$I$108</c:f>
              <c:numCache>
                <c:formatCode>General</c:formatCode>
                <c:ptCount val="12"/>
                <c:pt idx="0">
                  <c:v>625</c:v>
                </c:pt>
                <c:pt idx="1">
                  <c:v>621</c:v>
                </c:pt>
                <c:pt idx="2">
                  <c:v>607</c:v>
                </c:pt>
                <c:pt idx="3">
                  <c:v>615</c:v>
                </c:pt>
                <c:pt idx="4">
                  <c:v>632</c:v>
                </c:pt>
                <c:pt idx="5">
                  <c:v>628</c:v>
                </c:pt>
                <c:pt idx="6">
                  <c:v>646</c:v>
                </c:pt>
                <c:pt idx="7">
                  <c:v>598</c:v>
                </c:pt>
                <c:pt idx="8">
                  <c:v>532</c:v>
                </c:pt>
                <c:pt idx="9">
                  <c:v>503</c:v>
                </c:pt>
                <c:pt idx="10">
                  <c:v>482</c:v>
                </c:pt>
                <c:pt idx="11">
                  <c:v>459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23371327"/>
        <c:axId val="1123370495"/>
      </c:barChart>
      <c:scatterChart>
        <c:scatterStyle val="smooth"/>
        <c:varyColors val="0"/>
        <c:ser>
          <c:idx val="1"/>
          <c:order val="1"/>
          <c:tx>
            <c:strRef>
              <c:f>数据表!$H$96</c:f>
              <c:strCache>
                <c:ptCount val="1"/>
                <c:pt idx="0">
                  <c:v> 客户总数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数据表!$F$97:$F$108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xVal>
          <c:yVal>
            <c:numRef>
              <c:f>数据表!$H$97:$H$108</c:f>
              <c:numCache>
                <c:formatCode>General</c:formatCode>
                <c:ptCount val="12"/>
                <c:pt idx="0">
                  <c:v>5216</c:v>
                </c:pt>
                <c:pt idx="1">
                  <c:v>5247</c:v>
                </c:pt>
                <c:pt idx="2">
                  <c:v>5275</c:v>
                </c:pt>
                <c:pt idx="3">
                  <c:v>5319</c:v>
                </c:pt>
                <c:pt idx="4">
                  <c:v>5349</c:v>
                </c:pt>
                <c:pt idx="5">
                  <c:v>5379</c:v>
                </c:pt>
                <c:pt idx="6">
                  <c:v>5389</c:v>
                </c:pt>
                <c:pt idx="7">
                  <c:v>5394</c:v>
                </c:pt>
                <c:pt idx="8">
                  <c:v>5394</c:v>
                </c:pt>
                <c:pt idx="9">
                  <c:v>5399</c:v>
                </c:pt>
                <c:pt idx="10">
                  <c:v>5400</c:v>
                </c:pt>
                <c:pt idx="11">
                  <c:v>5405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869791"/>
        <c:axId val="1120871039"/>
      </c:scatterChart>
      <c:catAx>
        <c:axId val="112337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3370495"/>
        <c:crosses val="autoZero"/>
        <c:auto val="1"/>
        <c:lblAlgn val="ctr"/>
        <c:lblOffset val="100"/>
        <c:noMultiLvlLbl val="0"/>
      </c:catAx>
      <c:valAx>
        <c:axId val="1123370495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3371327"/>
        <c:crosses val="autoZero"/>
        <c:crossBetween val="between"/>
      </c:valAx>
      <c:valAx>
        <c:axId val="11208697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871039"/>
        <c:crosses val="autoZero"/>
        <c:crossBetween val="midCat"/>
      </c:valAx>
      <c:valAx>
        <c:axId val="1120871039"/>
        <c:scaling>
          <c:orientation val="minMax"/>
          <c:min val="8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0869791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fd41c2-16a5-414a-a0da-41a5f12293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[周图表.xlsx]数据表!数据透视表6</c:name>
    <c:fmtId val="9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手续费（万元）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数据表!$B$120</c:f>
              <c:strCache>
                <c:ptCount val="1"/>
                <c:pt idx="0">
                  <c:v> 手续费（万元）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数据表!$A$121:$A$132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数据表!$B$121:$B$132</c:f>
              <c:numCache>
                <c:formatCode>0</c:formatCode>
                <c:ptCount val="12"/>
                <c:pt idx="0">
                  <c:v>84.607028</c:v>
                </c:pt>
                <c:pt idx="1">
                  <c:v>83.800577</c:v>
                </c:pt>
                <c:pt idx="2">
                  <c:v>65.639809</c:v>
                </c:pt>
                <c:pt idx="3">
                  <c:v>79.165482</c:v>
                </c:pt>
                <c:pt idx="4">
                  <c:v>100.368559</c:v>
                </c:pt>
                <c:pt idx="5">
                  <c:v>119.329231</c:v>
                </c:pt>
                <c:pt idx="6">
                  <c:v>195.148997</c:v>
                </c:pt>
                <c:pt idx="7">
                  <c:v>155.764663</c:v>
                </c:pt>
                <c:pt idx="8">
                  <c:v>69.21058</c:v>
                </c:pt>
                <c:pt idx="9">
                  <c:v>62.59588</c:v>
                </c:pt>
                <c:pt idx="10">
                  <c:v>66.891172</c:v>
                </c:pt>
                <c:pt idx="11">
                  <c:v>51.609405</c:v>
                </c:pt>
              </c:numCache>
            </c:numRef>
          </c:val>
        </c:ser>
        <c:ser>
          <c:idx val="1"/>
          <c:order val="1"/>
          <c:tx>
            <c:strRef>
              <c:f>数据表!$C$120</c:f>
              <c:strCache>
                <c:ptCount val="1"/>
                <c:pt idx="0">
                  <c:v> 留存手续费（万元）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数据表!$A$121:$A$132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数据表!$C$121:$C$132</c:f>
              <c:numCache>
                <c:formatCode>0</c:formatCode>
                <c:ptCount val="12"/>
                <c:pt idx="0">
                  <c:v>50.264404</c:v>
                </c:pt>
                <c:pt idx="1">
                  <c:v>47.648414</c:v>
                </c:pt>
                <c:pt idx="2">
                  <c:v>35.587315</c:v>
                </c:pt>
                <c:pt idx="3">
                  <c:v>45.684298</c:v>
                </c:pt>
                <c:pt idx="4">
                  <c:v>61.302689</c:v>
                </c:pt>
                <c:pt idx="5">
                  <c:v>71.339916</c:v>
                </c:pt>
                <c:pt idx="6">
                  <c:v>120.45128</c:v>
                </c:pt>
                <c:pt idx="7">
                  <c:v>87.371232</c:v>
                </c:pt>
                <c:pt idx="8">
                  <c:v>33.440027</c:v>
                </c:pt>
                <c:pt idx="9">
                  <c:v>29.490962</c:v>
                </c:pt>
                <c:pt idx="10">
                  <c:v>23.288812</c:v>
                </c:pt>
                <c:pt idx="11">
                  <c:v>16.330599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981563327"/>
        <c:axId val="1981564991"/>
      </c:barChart>
      <c:catAx>
        <c:axId val="198156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1564991"/>
        <c:crosses val="autoZero"/>
        <c:auto val="1"/>
        <c:lblAlgn val="ctr"/>
        <c:lblOffset val="100"/>
        <c:noMultiLvlLbl val="0"/>
      </c:catAx>
      <c:valAx>
        <c:axId val="198156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156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826ccd-a587-4a76-b411-bcf8282afc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成交</a:t>
            </a:r>
            <a:r>
              <a:rPr lang="en-US"/>
              <a:t>&amp;</a:t>
            </a:r>
            <a:r>
              <a:rPr lang="zh-CN"/>
              <a:t>持仓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数据表!$G$71</c:f>
              <c:strCache>
                <c:ptCount val="1"/>
                <c:pt idx="0">
                  <c:v> 日均成交量（万手）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数据表!$F$72:$F$83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数据表!$G$72:$G$83</c:f>
              <c:numCache>
                <c:formatCode>0.00</c:formatCode>
                <c:ptCount val="12"/>
                <c:pt idx="0">
                  <c:v>1.46632</c:v>
                </c:pt>
                <c:pt idx="1">
                  <c:v>1.67034</c:v>
                </c:pt>
                <c:pt idx="2">
                  <c:v>1.44652</c:v>
                </c:pt>
                <c:pt idx="3">
                  <c:v>1.23552</c:v>
                </c:pt>
                <c:pt idx="4">
                  <c:v>1.481</c:v>
                </c:pt>
                <c:pt idx="5">
                  <c:v>1.94454</c:v>
                </c:pt>
                <c:pt idx="6">
                  <c:v>2.53476</c:v>
                </c:pt>
                <c:pt idx="7">
                  <c:v>2.35092</c:v>
                </c:pt>
                <c:pt idx="8">
                  <c:v>1.42762</c:v>
                </c:pt>
                <c:pt idx="9">
                  <c:v>1.25664</c:v>
                </c:pt>
                <c:pt idx="10">
                  <c:v>2.16154</c:v>
                </c:pt>
                <c:pt idx="11">
                  <c:v>1.59658</c:v>
                </c:pt>
              </c:numCache>
            </c:numRef>
          </c:val>
        </c:ser>
        <c:ser>
          <c:idx val="1"/>
          <c:order val="1"/>
          <c:tx>
            <c:strRef>
              <c:f>数据表!$H$71</c:f>
              <c:strCache>
                <c:ptCount val="1"/>
                <c:pt idx="0">
                  <c:v> 日均持仓量（万手）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数据表!$F$72:$F$83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cat>
          <c:val>
            <c:numRef>
              <c:f>数据表!$H$72:$H$83</c:f>
              <c:numCache>
                <c:formatCode>0.00</c:formatCode>
                <c:ptCount val="12"/>
                <c:pt idx="0">
                  <c:v>4.6782</c:v>
                </c:pt>
                <c:pt idx="1">
                  <c:v>4.75604</c:v>
                </c:pt>
                <c:pt idx="2">
                  <c:v>4.8598</c:v>
                </c:pt>
                <c:pt idx="3">
                  <c:v>4.59988</c:v>
                </c:pt>
                <c:pt idx="4">
                  <c:v>4.94088</c:v>
                </c:pt>
                <c:pt idx="5">
                  <c:v>5.27814</c:v>
                </c:pt>
                <c:pt idx="6">
                  <c:v>5.11304</c:v>
                </c:pt>
                <c:pt idx="7">
                  <c:v>5.65244</c:v>
                </c:pt>
                <c:pt idx="8">
                  <c:v>5.56002</c:v>
                </c:pt>
                <c:pt idx="9">
                  <c:v>5.14838</c:v>
                </c:pt>
                <c:pt idx="10">
                  <c:v>4.96994</c:v>
                </c:pt>
                <c:pt idx="11">
                  <c:v>4.81218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154354143"/>
        <c:axId val="1154354559"/>
      </c:barChart>
      <c:scatterChart>
        <c:scatterStyle val="smooth"/>
        <c:varyColors val="0"/>
        <c:ser>
          <c:idx val="2"/>
          <c:order val="2"/>
          <c:tx>
            <c:strRef>
              <c:f>数据表!$I$71</c:f>
              <c:strCache>
                <c:ptCount val="1"/>
                <c:pt idx="0">
                  <c:v> 成交持仓比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数据表!$F$72:$F$83</c:f>
              <c:strCache>
                <c:ptCount val="12"/>
                <c:pt idx="0">
                  <c:v>2506W2</c:v>
                </c:pt>
                <c:pt idx="1">
                  <c:v>2506W3</c:v>
                </c:pt>
                <c:pt idx="2">
                  <c:v>2506W4</c:v>
                </c:pt>
                <c:pt idx="3">
                  <c:v>2507W1</c:v>
                </c:pt>
                <c:pt idx="4">
                  <c:v>2507W2</c:v>
                </c:pt>
                <c:pt idx="5">
                  <c:v>2507W3</c:v>
                </c:pt>
                <c:pt idx="6">
                  <c:v>2507W4</c:v>
                </c:pt>
                <c:pt idx="7">
                  <c:v>2508W1</c:v>
                </c:pt>
                <c:pt idx="8">
                  <c:v>2508W2</c:v>
                </c:pt>
                <c:pt idx="9">
                  <c:v>2508W3</c:v>
                </c:pt>
                <c:pt idx="10">
                  <c:v>2508W4</c:v>
                </c:pt>
                <c:pt idx="11">
                  <c:v>2508W5</c:v>
                </c:pt>
              </c:strCache>
            </c:strRef>
          </c:xVal>
          <c:yVal>
            <c:numRef>
              <c:f>数据表!$I$72:$I$83</c:f>
              <c:numCache>
                <c:formatCode>0%</c:formatCode>
                <c:ptCount val="12"/>
                <c:pt idx="0">
                  <c:v>0.31343679192852</c:v>
                </c:pt>
                <c:pt idx="1">
                  <c:v>0.351203942775923</c:v>
                </c:pt>
                <c:pt idx="2">
                  <c:v>0.297650109057986</c:v>
                </c:pt>
                <c:pt idx="3">
                  <c:v>0.268598311260294</c:v>
                </c:pt>
                <c:pt idx="4">
                  <c:v>0.299744175126698</c:v>
                </c:pt>
                <c:pt idx="5">
                  <c:v>0.368413873068922</c:v>
                </c:pt>
                <c:pt idx="6">
                  <c:v>0.495744214791983</c:v>
                </c:pt>
                <c:pt idx="7">
                  <c:v>0.415912420122991</c:v>
                </c:pt>
                <c:pt idx="8">
                  <c:v>0.256765263434304</c:v>
                </c:pt>
                <c:pt idx="9">
                  <c:v>0.244084546983711</c:v>
                </c:pt>
                <c:pt idx="10">
                  <c:v>0.434922755606708</c:v>
                </c:pt>
                <c:pt idx="11">
                  <c:v>0.331778944262268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31117471"/>
        <c:axId val="1431123711"/>
      </c:scatterChart>
      <c:catAx>
        <c:axId val="115435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4354559"/>
        <c:crosses val="autoZero"/>
        <c:auto val="1"/>
        <c:lblAlgn val="ctr"/>
        <c:lblOffset val="100"/>
        <c:noMultiLvlLbl val="0"/>
      </c:catAx>
      <c:valAx>
        <c:axId val="1154354559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4354143"/>
        <c:crosses val="autoZero"/>
        <c:crossBetween val="between"/>
      </c:valAx>
      <c:valAx>
        <c:axId val="1431117471"/>
        <c:scaling>
          <c:orientation val="minMax"/>
        </c:scaling>
        <c:delete val="1"/>
        <c:axPos val="t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1123711"/>
        <c:crosses val="max"/>
        <c:crossBetween val="midCat"/>
      </c:valAx>
      <c:valAx>
        <c:axId val="1431123711"/>
        <c:scaling>
          <c:orientation val="minMax"/>
          <c:min val="-1.5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1117471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07d84f-00a7-4f2f-9b85-d99701a43a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品种盈亏（万元）</a:t>
            </a:r>
            <a:endParaRPr lang="zh-CN"/>
          </a:p>
        </c:rich>
      </c:tx>
      <c:layout>
        <c:manualLayout>
          <c:xMode val="edge"/>
          <c:yMode val="edge"/>
          <c:x val="0.336065477370315"/>
          <c:y val="0.021313320825515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数据表!$C$139</c:f>
              <c:strCache>
                <c:ptCount val="1"/>
                <c:pt idx="0">
                  <c:v>盈亏（万元）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数据表!$B$140:$B$149</c:f>
              <c:strCache>
                <c:ptCount val="10"/>
                <c:pt idx="0">
                  <c:v>聚氯乙烯</c:v>
                </c:pt>
                <c:pt idx="1">
                  <c:v>中证1000股指期货</c:v>
                </c:pt>
                <c:pt idx="2">
                  <c:v>对二甲苯期货</c:v>
                </c:pt>
                <c:pt idx="3">
                  <c:v>黄金</c:v>
                </c:pt>
                <c:pt idx="4">
                  <c:v>玻璃</c:v>
                </c:pt>
                <c:pt idx="5">
                  <c:v>玉米</c:v>
                </c:pt>
                <c:pt idx="6">
                  <c:v>碳酸锂期货</c:v>
                </c:pt>
                <c:pt idx="7">
                  <c:v>鲜鸡蛋</c:v>
                </c:pt>
                <c:pt idx="8">
                  <c:v>精对苯二甲酸</c:v>
                </c:pt>
                <c:pt idx="9">
                  <c:v>苯乙烯</c:v>
                </c:pt>
              </c:strCache>
            </c:strRef>
          </c:cat>
          <c:val>
            <c:numRef>
              <c:f>数据表!$C$140:$C$149</c:f>
              <c:numCache>
                <c:formatCode>#,###</c:formatCode>
                <c:ptCount val="10"/>
                <c:pt idx="0">
                  <c:v>62.1255</c:v>
                </c:pt>
                <c:pt idx="1">
                  <c:v>51.572</c:v>
                </c:pt>
                <c:pt idx="2">
                  <c:v>48.482</c:v>
                </c:pt>
                <c:pt idx="3">
                  <c:v>32.594</c:v>
                </c:pt>
                <c:pt idx="4">
                  <c:v>18.07</c:v>
                </c:pt>
                <c:pt idx="5">
                  <c:v>-22.054</c:v>
                </c:pt>
                <c:pt idx="6">
                  <c:v>-25.352</c:v>
                </c:pt>
                <c:pt idx="7">
                  <c:v>-25.801</c:v>
                </c:pt>
                <c:pt idx="8">
                  <c:v>-736.841</c:v>
                </c:pt>
                <c:pt idx="9">
                  <c:v>-989.4125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00B050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8383808"/>
        <c:axId val="2078361760"/>
      </c:barChart>
      <c:catAx>
        <c:axId val="20783838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78361760"/>
        <c:crosses val="autoZero"/>
        <c:auto val="1"/>
        <c:lblAlgn val="ctr"/>
        <c:lblOffset val="100"/>
        <c:noMultiLvlLbl val="0"/>
      </c:catAx>
      <c:valAx>
        <c:axId val="20783617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#,###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7838380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9194ea2-50f6-4b5a-b610-5fffa3cb903e}"/>
      </c:ext>
    </c:extLst>
  </c:chart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盈亏</a:t>
            </a:r>
            <a:r>
              <a:rPr lang="en-US"/>
              <a:t>&amp;</a:t>
            </a:r>
            <a:r>
              <a:rPr lang="zh-CN"/>
              <a:t>净入金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数据表!$B$180</c:f>
              <c:strCache>
                <c:ptCount val="1"/>
                <c:pt idx="0">
                  <c:v>盈亏（万元）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数据表!$A$181:$A$184</c:f>
              <c:strCache>
                <c:ptCount val="4"/>
                <c:pt idx="0">
                  <c:v>合计</c:v>
                </c:pt>
                <c:pt idx="1">
                  <c:v>产业</c:v>
                </c:pt>
                <c:pt idx="2">
                  <c:v>个人</c:v>
                </c:pt>
                <c:pt idx="3">
                  <c:v>机构</c:v>
                </c:pt>
              </c:strCache>
            </c:strRef>
          </c:cat>
          <c:val>
            <c:numRef>
              <c:f>数据表!$B$181:$B$184</c:f>
              <c:numCache>
                <c:formatCode>#,###</c:formatCode>
                <c:ptCount val="4"/>
                <c:pt idx="0">
                  <c:v>-1658.854</c:v>
                </c:pt>
                <c:pt idx="1">
                  <c:v>-1678.834</c:v>
                </c:pt>
                <c:pt idx="2">
                  <c:v>23.788</c:v>
                </c:pt>
                <c:pt idx="3">
                  <c:v>-3.808</c:v>
                </c:pt>
              </c:numCache>
            </c:numRef>
          </c:val>
        </c:ser>
        <c:ser>
          <c:idx val="1"/>
          <c:order val="1"/>
          <c:tx>
            <c:strRef>
              <c:f>数据表!$C$180</c:f>
              <c:strCache>
                <c:ptCount val="1"/>
                <c:pt idx="0">
                  <c:v>净入金（万元）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数据表!$A$181:$A$184</c:f>
              <c:strCache>
                <c:ptCount val="4"/>
                <c:pt idx="0">
                  <c:v>合计</c:v>
                </c:pt>
                <c:pt idx="1">
                  <c:v>产业</c:v>
                </c:pt>
                <c:pt idx="2">
                  <c:v>个人</c:v>
                </c:pt>
                <c:pt idx="3">
                  <c:v>机构</c:v>
                </c:pt>
              </c:strCache>
            </c:strRef>
          </c:cat>
          <c:val>
            <c:numRef>
              <c:f>数据表!$C$181:$C$184</c:f>
              <c:numCache>
                <c:formatCode>#,###</c:formatCode>
                <c:ptCount val="4"/>
                <c:pt idx="0">
                  <c:v>-2650.153945</c:v>
                </c:pt>
                <c:pt idx="1">
                  <c:v>-1270.994</c:v>
                </c:pt>
                <c:pt idx="2">
                  <c:v>-959.216030000001</c:v>
                </c:pt>
                <c:pt idx="3">
                  <c:v>-419.943915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304562336"/>
        <c:axId val="304564832"/>
      </c:barChart>
      <c:catAx>
        <c:axId val="30456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4564832"/>
        <c:crosses val="autoZero"/>
        <c:auto val="1"/>
        <c:lblAlgn val="ctr"/>
        <c:lblOffset val="100"/>
        <c:noMultiLvlLbl val="0"/>
      </c:catAx>
      <c:valAx>
        <c:axId val="30456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456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142c95-560f-4175-bb90-f4bd08addf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成交量占比</a:t>
            </a:r>
            <a:endParaRPr lang="zh-CN"/>
          </a:p>
        </c:rich>
      </c:tx>
      <c:layout>
        <c:manualLayout>
          <c:xMode val="edge"/>
          <c:yMode val="edge"/>
          <c:x val="0.424461736679601"/>
          <c:y val="0.02314822209089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数据表!$C$153</c:f>
              <c:strCache>
                <c:ptCount val="1"/>
                <c:pt idx="0">
                  <c:v>成交数量（手）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数据表!$B$154:$B$164</c:f>
              <c:strCache>
                <c:ptCount val="11"/>
                <c:pt idx="0">
                  <c:v>苯乙烯</c:v>
                </c:pt>
                <c:pt idx="1">
                  <c:v>精对苯二甲酸</c:v>
                </c:pt>
                <c:pt idx="2">
                  <c:v>鲜鸡蛋</c:v>
                </c:pt>
                <c:pt idx="3">
                  <c:v>螺纹钢</c:v>
                </c:pt>
                <c:pt idx="4">
                  <c:v>焦煤</c:v>
                </c:pt>
                <c:pt idx="5">
                  <c:v>玻璃</c:v>
                </c:pt>
                <c:pt idx="6">
                  <c:v>烧碱</c:v>
                </c:pt>
                <c:pt idx="7">
                  <c:v>纯碱</c:v>
                </c:pt>
                <c:pt idx="8">
                  <c:v>乙二醇</c:v>
                </c:pt>
                <c:pt idx="9">
                  <c:v>碳酸锂期货</c:v>
                </c:pt>
                <c:pt idx="10">
                  <c:v>其他</c:v>
                </c:pt>
              </c:strCache>
            </c:strRef>
          </c:cat>
          <c:val>
            <c:numRef>
              <c:f>数据表!$C$154:$C$164</c:f>
              <c:numCache>
                <c:formatCode>#,###</c:formatCode>
                <c:ptCount val="11"/>
                <c:pt idx="0">
                  <c:v>18057</c:v>
                </c:pt>
                <c:pt idx="1">
                  <c:v>13381</c:v>
                </c:pt>
                <c:pt idx="2">
                  <c:v>5751</c:v>
                </c:pt>
                <c:pt idx="3">
                  <c:v>5218</c:v>
                </c:pt>
                <c:pt idx="4">
                  <c:v>4417</c:v>
                </c:pt>
                <c:pt idx="5">
                  <c:v>3572</c:v>
                </c:pt>
                <c:pt idx="6">
                  <c:v>2471</c:v>
                </c:pt>
                <c:pt idx="7">
                  <c:v>2214</c:v>
                </c:pt>
                <c:pt idx="8">
                  <c:v>1895</c:v>
                </c:pt>
                <c:pt idx="9">
                  <c:v>1716</c:v>
                </c:pt>
                <c:pt idx="10">
                  <c:v>21137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1f44a4-425d-4c55-bfbf-98ed8ae7c6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持仓量占比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数据表!$C$166</c:f>
              <c:strCache>
                <c:ptCount val="1"/>
                <c:pt idx="0">
                  <c:v>平均持仓量（手）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数据表!$B$167:$B$177</c:f>
              <c:strCache>
                <c:ptCount val="11"/>
                <c:pt idx="0">
                  <c:v>精对苯二甲酸</c:v>
                </c:pt>
                <c:pt idx="1">
                  <c:v>苯乙烯</c:v>
                </c:pt>
                <c:pt idx="2">
                  <c:v>聚氯乙烯</c:v>
                </c:pt>
                <c:pt idx="3">
                  <c:v>乙二醇</c:v>
                </c:pt>
                <c:pt idx="4">
                  <c:v>螺纹钢</c:v>
                </c:pt>
                <c:pt idx="5">
                  <c:v>玻璃</c:v>
                </c:pt>
                <c:pt idx="6">
                  <c:v>玉米</c:v>
                </c:pt>
                <c:pt idx="7">
                  <c:v>对二甲苯期货</c:v>
                </c:pt>
                <c:pt idx="8">
                  <c:v>鲜鸡蛋</c:v>
                </c:pt>
                <c:pt idx="9">
                  <c:v>纯碱</c:v>
                </c:pt>
                <c:pt idx="10">
                  <c:v>其他</c:v>
                </c:pt>
              </c:strCache>
            </c:strRef>
          </c:cat>
          <c:val>
            <c:numRef>
              <c:f>数据表!$C$167:$C$177</c:f>
              <c:numCache>
                <c:formatCode>#,###</c:formatCode>
                <c:ptCount val="11"/>
                <c:pt idx="0">
                  <c:v>17902.2</c:v>
                </c:pt>
                <c:pt idx="1">
                  <c:v>15617.2</c:v>
                </c:pt>
                <c:pt idx="2">
                  <c:v>2234.4</c:v>
                </c:pt>
                <c:pt idx="3">
                  <c:v>1976.6</c:v>
                </c:pt>
                <c:pt idx="4">
                  <c:v>1768</c:v>
                </c:pt>
                <c:pt idx="5">
                  <c:v>991</c:v>
                </c:pt>
                <c:pt idx="6">
                  <c:v>649.6</c:v>
                </c:pt>
                <c:pt idx="7">
                  <c:v>623.8</c:v>
                </c:pt>
                <c:pt idx="8">
                  <c:v>613.2</c:v>
                </c:pt>
                <c:pt idx="9">
                  <c:v>603.8</c:v>
                </c:pt>
                <c:pt idx="10">
                  <c:v>5142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bebbcf3-5e55-4f79-826d-ff652ba0c6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642934</xdr:colOff>
      <xdr:row>1</xdr:row>
      <xdr:rowOff>23810</xdr:rowOff>
    </xdr:from>
    <xdr:to>
      <xdr:col>18</xdr:col>
      <xdr:colOff>647700</xdr:colOff>
      <xdr:row>29</xdr:row>
      <xdr:rowOff>9525</xdr:rowOff>
    </xdr:to>
    <xdr:graphicFrame>
      <xdr:nvGraphicFramePr>
        <xdr:cNvPr id="2" name="图表 1"/>
        <xdr:cNvGraphicFramePr/>
      </xdr:nvGraphicFramePr>
      <xdr:xfrm>
        <a:off x="5509895" y="252095"/>
        <a:ext cx="9349105" cy="51009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4762</xdr:colOff>
      <xdr:row>15</xdr:row>
      <xdr:rowOff>14286</xdr:rowOff>
    </xdr:from>
    <xdr:to>
      <xdr:col>33</xdr:col>
      <xdr:colOff>9525</xdr:colOff>
      <xdr:row>41</xdr:row>
      <xdr:rowOff>0</xdr:rowOff>
    </xdr:to>
    <xdr:graphicFrame>
      <xdr:nvGraphicFramePr>
        <xdr:cNvPr id="3" name="图表 2"/>
        <xdr:cNvGraphicFramePr/>
      </xdr:nvGraphicFramePr>
      <xdr:xfrm>
        <a:off x="15587345" y="2776220"/>
        <a:ext cx="8920480" cy="4739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633411</xdr:colOff>
      <xdr:row>38</xdr:row>
      <xdr:rowOff>133350</xdr:rowOff>
    </xdr:from>
    <xdr:to>
      <xdr:col>21</xdr:col>
      <xdr:colOff>142875</xdr:colOff>
      <xdr:row>64</xdr:row>
      <xdr:rowOff>142875</xdr:rowOff>
    </xdr:to>
    <xdr:graphicFrame>
      <xdr:nvGraphicFramePr>
        <xdr:cNvPr id="4" name="图表 3"/>
        <xdr:cNvGraphicFramePr/>
      </xdr:nvGraphicFramePr>
      <xdr:xfrm>
        <a:off x="7033895" y="7105650"/>
        <a:ext cx="9377680" cy="4762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657225</xdr:colOff>
      <xdr:row>88</xdr:row>
      <xdr:rowOff>171450</xdr:rowOff>
    </xdr:from>
    <xdr:to>
      <xdr:col>19</xdr:col>
      <xdr:colOff>390525</xdr:colOff>
      <xdr:row>110</xdr:row>
      <xdr:rowOff>166688</xdr:rowOff>
    </xdr:to>
    <xdr:graphicFrame>
      <xdr:nvGraphicFramePr>
        <xdr:cNvPr id="5" name="图表 4"/>
        <xdr:cNvGraphicFramePr/>
      </xdr:nvGraphicFramePr>
      <xdr:xfrm>
        <a:off x="8696325" y="16287750"/>
        <a:ext cx="6591300" cy="4023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333375</xdr:colOff>
      <xdr:row>115</xdr:row>
      <xdr:rowOff>90487</xdr:rowOff>
    </xdr:from>
    <xdr:to>
      <xdr:col>14</xdr:col>
      <xdr:colOff>333375</xdr:colOff>
      <xdr:row>136</xdr:row>
      <xdr:rowOff>66675</xdr:rowOff>
    </xdr:to>
    <xdr:graphicFrame>
      <xdr:nvGraphicFramePr>
        <xdr:cNvPr id="6" name="图表 5"/>
        <xdr:cNvGraphicFramePr/>
      </xdr:nvGraphicFramePr>
      <xdr:xfrm>
        <a:off x="5200650" y="21140420"/>
        <a:ext cx="6600825" cy="3824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523874</xdr:colOff>
      <xdr:row>66</xdr:row>
      <xdr:rowOff>23812</xdr:rowOff>
    </xdr:from>
    <xdr:to>
      <xdr:col>16</xdr:col>
      <xdr:colOff>514349</xdr:colOff>
      <xdr:row>85</xdr:row>
      <xdr:rowOff>38100</xdr:rowOff>
    </xdr:to>
    <xdr:graphicFrame>
      <xdr:nvGraphicFramePr>
        <xdr:cNvPr id="7" name="图表 6"/>
        <xdr:cNvGraphicFramePr/>
      </xdr:nvGraphicFramePr>
      <xdr:xfrm>
        <a:off x="6924040" y="12110720"/>
        <a:ext cx="6429375" cy="3500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238124</xdr:colOff>
      <xdr:row>136</xdr:row>
      <xdr:rowOff>161925</xdr:rowOff>
    </xdr:from>
    <xdr:to>
      <xdr:col>13</xdr:col>
      <xdr:colOff>228600</xdr:colOff>
      <xdr:row>154</xdr:row>
      <xdr:rowOff>0</xdr:rowOff>
    </xdr:to>
    <xdr:graphicFrame>
      <xdr:nvGraphicFramePr>
        <xdr:cNvPr id="8" name="图表 7"/>
        <xdr:cNvGraphicFramePr/>
      </xdr:nvGraphicFramePr>
      <xdr:xfrm>
        <a:off x="7524115" y="25060275"/>
        <a:ext cx="3486785" cy="3095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137</xdr:row>
      <xdr:rowOff>0</xdr:rowOff>
    </xdr:from>
    <xdr:to>
      <xdr:col>19</xdr:col>
      <xdr:colOff>9525</xdr:colOff>
      <xdr:row>154</xdr:row>
      <xdr:rowOff>9525</xdr:rowOff>
    </xdr:to>
    <xdr:graphicFrame>
      <xdr:nvGraphicFramePr>
        <xdr:cNvPr id="9" name="图表 8"/>
        <xdr:cNvGraphicFramePr/>
      </xdr:nvGraphicFramePr>
      <xdr:xfrm>
        <a:off x="11468100" y="25079325"/>
        <a:ext cx="3438525" cy="3086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14287</xdr:colOff>
      <xdr:row>155</xdr:row>
      <xdr:rowOff>0</xdr:rowOff>
    </xdr:from>
    <xdr:to>
      <xdr:col>15</xdr:col>
      <xdr:colOff>676276</xdr:colOff>
      <xdr:row>180</xdr:row>
      <xdr:rowOff>171450</xdr:rowOff>
    </xdr:to>
    <xdr:graphicFrame>
      <xdr:nvGraphicFramePr>
        <xdr:cNvPr id="10" name="图表 9"/>
        <xdr:cNvGraphicFramePr/>
      </xdr:nvGraphicFramePr>
      <xdr:xfrm>
        <a:off x="7300595" y="28336875"/>
        <a:ext cx="5529580" cy="4695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14287</xdr:colOff>
      <xdr:row>154</xdr:row>
      <xdr:rowOff>180974</xdr:rowOff>
    </xdr:from>
    <xdr:to>
      <xdr:col>24</xdr:col>
      <xdr:colOff>676275</xdr:colOff>
      <xdr:row>180</xdr:row>
      <xdr:rowOff>171449</xdr:rowOff>
    </xdr:to>
    <xdr:graphicFrame>
      <xdr:nvGraphicFramePr>
        <xdr:cNvPr id="11" name="图表 10"/>
        <xdr:cNvGraphicFramePr/>
      </xdr:nvGraphicFramePr>
      <xdr:xfrm>
        <a:off x="13539470" y="28336240"/>
        <a:ext cx="5462905" cy="4695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150;&#20844;\&#24635;&#32467;&#27719;&#25253;\&#21608;&#25253;\20250829\&#21608;&#25253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"/>
      <sheetName val="数据表"/>
      <sheetName val="考核数据"/>
      <sheetName val="考核图表"/>
      <sheetName val="代码"/>
      <sheetName val="v6s"/>
      <sheetName val="crm"/>
    </sheetNames>
    <sheetDataSet>
      <sheetData sheetId="0">
        <row r="1">
          <cell r="A1" t="str">
            <v>月份</v>
          </cell>
          <cell r="B1" t="str">
            <v>全部</v>
          </cell>
          <cell r="C1" t="str">
            <v>特殊法人</v>
          </cell>
          <cell r="D1" t="str">
            <v>自然人</v>
          </cell>
          <cell r="E1" t="str">
            <v>法人</v>
          </cell>
          <cell r="F1" t="str">
            <v>集团客户</v>
          </cell>
          <cell r="G1" t="str">
            <v>非集团客户</v>
          </cell>
          <cell r="H1" t="str">
            <v>集团占比</v>
          </cell>
          <cell r="I1" t="str">
            <v>期末权益(万元）</v>
          </cell>
          <cell r="J1" t="str">
            <v>权益变动(万元）</v>
          </cell>
          <cell r="K1" t="str">
            <v>环比</v>
          </cell>
        </row>
        <row r="2">
          <cell r="A2" t="str">
            <v>2401W1</v>
          </cell>
          <cell r="B2">
            <v>1.96698048815</v>
          </cell>
          <cell r="C2">
            <v>0.08417272565</v>
          </cell>
          <cell r="D2">
            <v>0.57506993045</v>
          </cell>
          <cell r="E2">
            <v>1.30773783205</v>
          </cell>
          <cell r="F2">
            <v>1.165450096275</v>
          </cell>
          <cell r="G2">
            <v>0.801530391875</v>
          </cell>
          <cell r="H2">
            <v>0.592507197349547</v>
          </cell>
          <cell r="I2">
            <v>1.9486007489</v>
          </cell>
          <cell r="J2">
            <v>-0.7480423219</v>
          </cell>
          <cell r="K2">
            <v>-0.318424496716104</v>
          </cell>
        </row>
        <row r="3">
          <cell r="A3" t="str">
            <v>2401W2</v>
          </cell>
          <cell r="B3">
            <v>2.52721229012</v>
          </cell>
          <cell r="C3">
            <v>0.11630271684</v>
          </cell>
          <cell r="D3">
            <v>0.52910688518</v>
          </cell>
          <cell r="E3">
            <v>1.8818026881</v>
          </cell>
          <cell r="F3">
            <v>1.73951326992</v>
          </cell>
          <cell r="G3">
            <v>0.7876990202</v>
          </cell>
          <cell r="H3">
            <v>0.688313077900315</v>
          </cell>
          <cell r="I3">
            <v>1.9607585138</v>
          </cell>
          <cell r="J3">
            <v>0.0121577649000002</v>
          </cell>
          <cell r="K3">
            <v>0.00623922828053071</v>
          </cell>
        </row>
        <row r="4">
          <cell r="A4" t="str">
            <v>2401W3</v>
          </cell>
          <cell r="B4">
            <v>1.9980174493</v>
          </cell>
          <cell r="C4">
            <v>0.11986177326</v>
          </cell>
          <cell r="D4">
            <v>0.55672959264</v>
          </cell>
          <cell r="E4">
            <v>1.3214260834</v>
          </cell>
          <cell r="F4">
            <v>1.17472906986</v>
          </cell>
          <cell r="G4">
            <v>0.82328837944</v>
          </cell>
          <cell r="H4">
            <v>0.587947352647777</v>
          </cell>
          <cell r="I4">
            <v>2.1169210922</v>
          </cell>
          <cell r="J4">
            <v>0.1561625784</v>
          </cell>
          <cell r="K4">
            <v>0.0796439629362378</v>
          </cell>
        </row>
        <row r="5">
          <cell r="A5" t="str">
            <v>2401W4</v>
          </cell>
          <cell r="B5">
            <v>2.59741691634</v>
          </cell>
          <cell r="C5">
            <v>0.10197174764</v>
          </cell>
          <cell r="D5">
            <v>0.55925608388</v>
          </cell>
          <cell r="E5">
            <v>1.93618908482</v>
          </cell>
          <cell r="F5">
            <v>1.78307958644</v>
          </cell>
          <cell r="G5">
            <v>0.8143373299</v>
          </cell>
          <cell r="H5">
            <v>0.686481856348469</v>
          </cell>
          <cell r="I5">
            <v>3.6498019625</v>
          </cell>
          <cell r="J5">
            <v>1.5328808703</v>
          </cell>
          <cell r="K5">
            <v>0.724108648143782</v>
          </cell>
        </row>
        <row r="6">
          <cell r="A6" t="str">
            <v>2402W1</v>
          </cell>
          <cell r="B6">
            <v>2.93871153386</v>
          </cell>
          <cell r="C6">
            <v>0.1024231235</v>
          </cell>
          <cell r="D6">
            <v>0.55923935706</v>
          </cell>
          <cell r="E6">
            <v>2.2770490533</v>
          </cell>
          <cell r="F6">
            <v>2.12384515094</v>
          </cell>
          <cell r="G6">
            <v>0.81486638292</v>
          </cell>
          <cell r="H6">
            <v>0.72271304157245</v>
          </cell>
          <cell r="I6">
            <v>2.8533230157</v>
          </cell>
          <cell r="J6">
            <v>-0.7964789468</v>
          </cell>
          <cell r="K6">
            <v>-0.218225250296714</v>
          </cell>
        </row>
        <row r="7">
          <cell r="A7" t="str">
            <v>2402W2</v>
          </cell>
          <cell r="B7">
            <v>2.880069601525</v>
          </cell>
          <cell r="C7">
            <v>0.10294317705</v>
          </cell>
          <cell r="D7">
            <v>0.569129910275</v>
          </cell>
          <cell r="E7">
            <v>2.2079965142</v>
          </cell>
          <cell r="F7">
            <v>2.0547028257</v>
          </cell>
          <cell r="G7">
            <v>0.825366775825</v>
          </cell>
          <cell r="H7">
            <v>0.713421239754773</v>
          </cell>
          <cell r="I7">
            <v>2.9798684124</v>
          </cell>
          <cell r="J7">
            <v>0.1265453967</v>
          </cell>
          <cell r="K7">
            <v>0.0443501825778933</v>
          </cell>
        </row>
        <row r="8">
          <cell r="A8" t="str">
            <v>2402W4</v>
          </cell>
          <cell r="B8">
            <v>2.76226887794</v>
          </cell>
          <cell r="C8">
            <v>0.09834562136</v>
          </cell>
          <cell r="D8">
            <v>0.63437940124</v>
          </cell>
          <cell r="E8">
            <v>2.02954385534</v>
          </cell>
          <cell r="F8">
            <v>1.87838300384</v>
          </cell>
          <cell r="G8">
            <v>0.8838858741</v>
          </cell>
          <cell r="H8">
            <v>0.680014541249449</v>
          </cell>
          <cell r="I8">
            <v>2.6330293345</v>
          </cell>
          <cell r="J8">
            <v>-0.3468390779</v>
          </cell>
          <cell r="K8">
            <v>-0.116394091919198</v>
          </cell>
        </row>
        <row r="9">
          <cell r="A9" t="str">
            <v>2403W1</v>
          </cell>
          <cell r="B9">
            <v>2.95088318248</v>
          </cell>
          <cell r="C9">
            <v>0.09889756714</v>
          </cell>
          <cell r="D9">
            <v>0.63459445706</v>
          </cell>
          <cell r="E9">
            <v>2.21739115828</v>
          </cell>
          <cell r="F9">
            <v>2.07443966432</v>
          </cell>
          <cell r="G9">
            <v>0.87644351816</v>
          </cell>
          <cell r="H9">
            <v>0.70298942250116</v>
          </cell>
          <cell r="I9">
            <v>2.7280140291</v>
          </cell>
          <cell r="J9">
            <v>0.0949846945999999</v>
          </cell>
          <cell r="K9">
            <v>0.0360743017008723</v>
          </cell>
        </row>
        <row r="10">
          <cell r="A10" t="str">
            <v>2403W2</v>
          </cell>
          <cell r="B10">
            <v>2.73176466906</v>
          </cell>
          <cell r="C10">
            <v>0.09902213792</v>
          </cell>
          <cell r="D10">
            <v>0.66054610232</v>
          </cell>
          <cell r="E10">
            <v>1.97219642882</v>
          </cell>
          <cell r="F10">
            <v>1.8292062006</v>
          </cell>
          <cell r="G10">
            <v>0.90255846846</v>
          </cell>
          <cell r="H10">
            <v>0.669606068677003</v>
          </cell>
          <cell r="I10">
            <v>2.7363295923</v>
          </cell>
          <cell r="J10">
            <v>0.00831556320000004</v>
          </cell>
          <cell r="K10">
            <v>0.00304821130364327</v>
          </cell>
        </row>
        <row r="11">
          <cell r="A11" t="str">
            <v>2403W3</v>
          </cell>
          <cell r="B11">
            <v>2.8451896928</v>
          </cell>
          <cell r="C11">
            <v>0.09889188114</v>
          </cell>
          <cell r="D11">
            <v>0.695617386</v>
          </cell>
          <cell r="E11">
            <v>2.05068042566</v>
          </cell>
          <cell r="F11">
            <v>1.90751809816</v>
          </cell>
          <cell r="G11">
            <v>0.93767159464</v>
          </cell>
          <cell r="H11">
            <v>0.670436176184365</v>
          </cell>
          <cell r="I11">
            <v>2.8395481094</v>
          </cell>
          <cell r="J11">
            <v>0.1032185171</v>
          </cell>
          <cell r="K11">
            <v>0.0377215220675373</v>
          </cell>
        </row>
        <row r="12">
          <cell r="A12" t="str">
            <v>2403W4</v>
          </cell>
          <cell r="B12">
            <v>2.82299141826</v>
          </cell>
          <cell r="C12">
            <v>0.09928504836</v>
          </cell>
          <cell r="D12">
            <v>0.69867507154</v>
          </cell>
          <cell r="E12">
            <v>2.02503129836</v>
          </cell>
          <cell r="F12">
            <v>1.88171288566</v>
          </cell>
          <cell r="G12">
            <v>0.9412785326</v>
          </cell>
          <cell r="H12">
            <v>0.666566987589295</v>
          </cell>
          <cell r="I12">
            <v>2.699094939</v>
          </cell>
          <cell r="J12">
            <v>-0.1404531704</v>
          </cell>
          <cell r="K12">
            <v>-0.0494632120988004</v>
          </cell>
        </row>
        <row r="13">
          <cell r="A13" t="str">
            <v>2403W5</v>
          </cell>
          <cell r="B13">
            <v>2.5764270595</v>
          </cell>
          <cell r="C13">
            <v>0.09974420296</v>
          </cell>
          <cell r="D13">
            <v>0.61436688888</v>
          </cell>
          <cell r="E13">
            <v>1.86231596766</v>
          </cell>
          <cell r="F13">
            <v>1.7186125047</v>
          </cell>
          <cell r="G13">
            <v>0.8578145548</v>
          </cell>
          <cell r="H13">
            <v>0.667052652766939</v>
          </cell>
          <cell r="I13">
            <v>2.3240291775</v>
          </cell>
          <cell r="J13">
            <v>-0.3750657615</v>
          </cell>
          <cell r="K13">
            <v>-0.138959825414278</v>
          </cell>
        </row>
        <row r="14">
          <cell r="A14" t="str">
            <v>2404W1</v>
          </cell>
          <cell r="B14">
            <v>2.48481139206667</v>
          </cell>
          <cell r="C14">
            <v>0.0992330863666667</v>
          </cell>
          <cell r="D14">
            <v>0.572122448333333</v>
          </cell>
          <cell r="E14">
            <v>1.81345585736667</v>
          </cell>
          <cell r="F14">
            <v>1.66969350643333</v>
          </cell>
          <cell r="G14">
            <v>0.81511788563334</v>
          </cell>
          <cell r="H14">
            <v>0.671959856496235</v>
          </cell>
          <cell r="I14">
            <v>2.6772484969</v>
          </cell>
          <cell r="J14">
            <v>0.3532193194</v>
          </cell>
          <cell r="K14">
            <v>0.151985750789912</v>
          </cell>
        </row>
        <row r="15">
          <cell r="A15" t="str">
            <v>2404W2</v>
          </cell>
          <cell r="B15">
            <v>2.45157735328</v>
          </cell>
          <cell r="C15">
            <v>0.15859440456</v>
          </cell>
          <cell r="D15">
            <v>0.61871416186</v>
          </cell>
          <cell r="E15">
            <v>1.67426878686</v>
          </cell>
          <cell r="F15">
            <v>1.53020735612</v>
          </cell>
          <cell r="G15">
            <v>0.92136999716</v>
          </cell>
          <cell r="H15">
            <v>0.624172577737641</v>
          </cell>
          <cell r="I15">
            <v>2.3579410531</v>
          </cell>
          <cell r="J15">
            <v>-0.3193074438</v>
          </cell>
          <cell r="K15">
            <v>-0.119267017674948</v>
          </cell>
        </row>
        <row r="16">
          <cell r="A16" t="str">
            <v>2404W3</v>
          </cell>
          <cell r="B16">
            <v>2.39430498498</v>
          </cell>
          <cell r="C16">
            <v>0.16184661208</v>
          </cell>
          <cell r="D16">
            <v>0.654754709</v>
          </cell>
          <cell r="E16">
            <v>1.5777036639</v>
          </cell>
          <cell r="F16">
            <v>1.4334549196</v>
          </cell>
          <cell r="G16">
            <v>0.96085006538</v>
          </cell>
          <cell r="H16">
            <v>0.598693536785153</v>
          </cell>
          <cell r="I16">
            <v>2.3433926457</v>
          </cell>
          <cell r="J16">
            <v>-0.0145484074</v>
          </cell>
          <cell r="K16">
            <v>-0.00616996229862196</v>
          </cell>
        </row>
        <row r="17">
          <cell r="A17" t="str">
            <v>2404W4</v>
          </cell>
          <cell r="B17">
            <v>2.47832768754</v>
          </cell>
          <cell r="C17">
            <v>0.21475074636</v>
          </cell>
          <cell r="D17">
            <v>0.73119443492</v>
          </cell>
          <cell r="E17">
            <v>1.53238250626</v>
          </cell>
          <cell r="F17">
            <v>1.38176668382</v>
          </cell>
          <cell r="G17">
            <v>1.09656100372</v>
          </cell>
          <cell r="H17">
            <v>0.557539945491045</v>
          </cell>
          <cell r="I17">
            <v>2.4390759121</v>
          </cell>
          <cell r="J17">
            <v>0.0956832664</v>
          </cell>
          <cell r="K17">
            <v>0.0408310858940236</v>
          </cell>
        </row>
        <row r="18">
          <cell r="A18" t="str">
            <v>2405W1</v>
          </cell>
          <cell r="B18">
            <v>2.67192397915</v>
          </cell>
          <cell r="C18">
            <v>0.21634292045</v>
          </cell>
          <cell r="D18">
            <v>0.75208584325</v>
          </cell>
          <cell r="E18">
            <v>1.70349521545</v>
          </cell>
          <cell r="F18">
            <v>1.55280728645</v>
          </cell>
          <cell r="G18">
            <v>1.1191166927</v>
          </cell>
          <cell r="H18">
            <v>0.581156985964842</v>
          </cell>
          <cell r="I18">
            <v>2.8131980691</v>
          </cell>
          <cell r="J18">
            <v>0.374122157</v>
          </cell>
          <cell r="K18">
            <v>0.153386844232285</v>
          </cell>
        </row>
        <row r="19">
          <cell r="A19" t="str">
            <v>2405W2</v>
          </cell>
          <cell r="B19">
            <v>2.65255785674</v>
          </cell>
          <cell r="C19">
            <v>0.21439866046</v>
          </cell>
          <cell r="D19">
            <v>0.8073851561</v>
          </cell>
          <cell r="E19">
            <v>1.63077404018</v>
          </cell>
          <cell r="F19">
            <v>1.48034224388</v>
          </cell>
          <cell r="G19">
            <v>1.17221561286</v>
          </cell>
          <cell r="H19">
            <v>0.558081038691968</v>
          </cell>
          <cell r="I19">
            <v>2.4307099911</v>
          </cell>
          <cell r="J19">
            <v>-0.382488078</v>
          </cell>
          <cell r="K19">
            <v>-0.135962014975492</v>
          </cell>
        </row>
        <row r="20">
          <cell r="A20" t="str">
            <v>2405W3</v>
          </cell>
          <cell r="B20">
            <v>2.47220823246</v>
          </cell>
          <cell r="C20">
            <v>0.25317599678</v>
          </cell>
          <cell r="D20">
            <v>0.85109343392</v>
          </cell>
          <cell r="E20">
            <v>1.36793880176</v>
          </cell>
          <cell r="F20">
            <v>1.21856446482</v>
          </cell>
          <cell r="G20">
            <v>1.25364376764</v>
          </cell>
          <cell r="H20">
            <v>0.492905269394501</v>
          </cell>
          <cell r="I20">
            <v>2.5095060581</v>
          </cell>
          <cell r="J20">
            <v>0.0787960669999999</v>
          </cell>
          <cell r="K20">
            <v>0.0324168935366663</v>
          </cell>
        </row>
        <row r="21">
          <cell r="A21" t="str">
            <v>2405W4</v>
          </cell>
          <cell r="B21">
            <v>2.77133074702</v>
          </cell>
          <cell r="C21">
            <v>0.29726445426</v>
          </cell>
          <cell r="D21">
            <v>1.0736211342</v>
          </cell>
          <cell r="E21">
            <v>1.40044515856</v>
          </cell>
          <cell r="F21">
            <v>1.21760173176</v>
          </cell>
          <cell r="G21">
            <v>1.55372901526</v>
          </cell>
          <cell r="H21">
            <v>0.439356339213312</v>
          </cell>
          <cell r="I21">
            <v>2.7616092212</v>
          </cell>
          <cell r="J21">
            <v>0.2521031631</v>
          </cell>
          <cell r="K21">
            <v>0.100459276552165</v>
          </cell>
        </row>
        <row r="22">
          <cell r="A22" t="str">
            <v>2405W5</v>
          </cell>
          <cell r="B22">
            <v>2.92404183074</v>
          </cell>
          <cell r="C22">
            <v>0.28080275844</v>
          </cell>
          <cell r="D22">
            <v>1.1393724661</v>
          </cell>
          <cell r="E22">
            <v>1.5038666062</v>
          </cell>
          <cell r="F22">
            <v>1.35413963018</v>
          </cell>
          <cell r="G22">
            <v>1.56990220056</v>
          </cell>
          <cell r="H22">
            <v>0.463105423439617</v>
          </cell>
          <cell r="I22">
            <v>2.8636991887</v>
          </cell>
          <cell r="J22">
            <v>0.1020899675</v>
          </cell>
          <cell r="K22">
            <v>0.0369675646779738</v>
          </cell>
        </row>
        <row r="23">
          <cell r="A23" t="str">
            <v>2406W1</v>
          </cell>
          <cell r="B23">
            <v>2.97601412852</v>
          </cell>
          <cell r="C23">
            <v>0.2766217242</v>
          </cell>
          <cell r="D23">
            <v>1.15693772792</v>
          </cell>
          <cell r="E23">
            <v>1.5424546764</v>
          </cell>
          <cell r="F23">
            <v>1.3924514943</v>
          </cell>
          <cell r="G23">
            <v>1.58356263422</v>
          </cell>
          <cell r="H23">
            <v>0.46789142596997</v>
          </cell>
          <cell r="I23">
            <v>3.0410947411</v>
          </cell>
          <cell r="J23">
            <v>0.1773955524</v>
          </cell>
          <cell r="K23">
            <v>0.0619462941848059</v>
          </cell>
        </row>
        <row r="24">
          <cell r="A24" t="str">
            <v>2406W2</v>
          </cell>
          <cell r="B24">
            <v>2.81809569105</v>
          </cell>
          <cell r="C24">
            <v>0.2683449399</v>
          </cell>
          <cell r="D24">
            <v>1.178604745025</v>
          </cell>
          <cell r="E24">
            <v>1.371146006125</v>
          </cell>
          <cell r="F24">
            <v>1.221288763925</v>
          </cell>
          <cell r="G24">
            <v>1.596806927125</v>
          </cell>
          <cell r="H24">
            <v>0.433373773574721</v>
          </cell>
          <cell r="I24">
            <v>2.9160362547</v>
          </cell>
          <cell r="J24">
            <v>-0.1250584864</v>
          </cell>
          <cell r="K24">
            <v>-0.0411228511594365</v>
          </cell>
        </row>
        <row r="25">
          <cell r="A25" t="str">
            <v>2406W3</v>
          </cell>
          <cell r="B25">
            <v>2.93071890228</v>
          </cell>
          <cell r="C25">
            <v>0.29446389232</v>
          </cell>
          <cell r="D25">
            <v>1.18371502708</v>
          </cell>
          <cell r="E25">
            <v>1.45253998288</v>
          </cell>
          <cell r="F25">
            <v>1.30272227568</v>
          </cell>
          <cell r="G25">
            <v>1.6279966266</v>
          </cell>
          <cell r="H25">
            <v>0.444506047532067</v>
          </cell>
          <cell r="I25">
            <v>2.9303451112</v>
          </cell>
          <cell r="J25">
            <v>0.0143088565</v>
          </cell>
          <cell r="K25">
            <v>0.00490695425234763</v>
          </cell>
        </row>
        <row r="26">
          <cell r="A26" t="str">
            <v>2406W4</v>
          </cell>
          <cell r="B26">
            <v>2.89389322588</v>
          </cell>
          <cell r="C26">
            <v>0.29691092616</v>
          </cell>
          <cell r="D26">
            <v>1.18872278152</v>
          </cell>
          <cell r="E26">
            <v>1.4082595182</v>
          </cell>
          <cell r="F26">
            <v>1.2582249597</v>
          </cell>
          <cell r="G26">
            <v>1.63566826618</v>
          </cell>
          <cell r="H26">
            <v>0.434786241747875</v>
          </cell>
          <cell r="I26">
            <v>2.7352015142</v>
          </cell>
          <cell r="J26">
            <v>-0.195143597</v>
          </cell>
          <cell r="K26">
            <v>-0.0665940664306557</v>
          </cell>
        </row>
        <row r="27">
          <cell r="A27" t="str">
            <v>2407W1</v>
          </cell>
          <cell r="B27">
            <v>2.89047412286</v>
          </cell>
          <cell r="C27">
            <v>0.29557090068</v>
          </cell>
          <cell r="D27">
            <v>1.23196738038</v>
          </cell>
          <cell r="E27">
            <v>1.3629358418</v>
          </cell>
          <cell r="F27">
            <v>1.21303415574</v>
          </cell>
          <cell r="G27">
            <v>1.67743996712</v>
          </cell>
          <cell r="H27">
            <v>0.419666153087631</v>
          </cell>
          <cell r="I27">
            <v>2.8686989424</v>
          </cell>
          <cell r="J27">
            <v>0.1334974282</v>
          </cell>
          <cell r="K27">
            <v>0.0488071637526297</v>
          </cell>
        </row>
        <row r="28">
          <cell r="A28" t="str">
            <v>2407W2</v>
          </cell>
          <cell r="B28">
            <v>2.94881441896</v>
          </cell>
          <cell r="C28">
            <v>0.30024720584</v>
          </cell>
          <cell r="D28">
            <v>1.17426056544</v>
          </cell>
          <cell r="E28">
            <v>1.47430664768</v>
          </cell>
          <cell r="F28">
            <v>1.31942272318</v>
          </cell>
          <cell r="G28">
            <v>1.62939169578</v>
          </cell>
          <cell r="H28">
            <v>0.447441763271539</v>
          </cell>
          <cell r="I28">
            <v>3.1385004393</v>
          </cell>
          <cell r="J28">
            <v>0.2698014969</v>
          </cell>
          <cell r="K28">
            <v>0.0940501259690498</v>
          </cell>
        </row>
        <row r="29">
          <cell r="A29" t="str">
            <v>2407W3</v>
          </cell>
          <cell r="B29">
            <v>3.18541720188</v>
          </cell>
          <cell r="C29">
            <v>0.38293663984</v>
          </cell>
          <cell r="D29">
            <v>1.12703822594</v>
          </cell>
          <cell r="E29">
            <v>1.6754423361</v>
          </cell>
          <cell r="F29">
            <v>1.51839190174</v>
          </cell>
          <cell r="G29">
            <v>1.66702530014</v>
          </cell>
          <cell r="H29">
            <v>0.476669712477179</v>
          </cell>
          <cell r="I29">
            <v>3.0369243792</v>
          </cell>
          <cell r="J29">
            <v>-0.1015760601</v>
          </cell>
          <cell r="K29">
            <v>-0.0323645199561149</v>
          </cell>
        </row>
        <row r="30">
          <cell r="A30" t="str">
            <v>2407W4</v>
          </cell>
          <cell r="B30">
            <v>2.98184614296</v>
          </cell>
          <cell r="C30">
            <v>0.39385395072</v>
          </cell>
          <cell r="D30">
            <v>1.10808913992</v>
          </cell>
          <cell r="E30">
            <v>1.47990305232</v>
          </cell>
          <cell r="F30">
            <v>1.31778631786</v>
          </cell>
          <cell r="G30">
            <v>1.6640598251</v>
          </cell>
          <cell r="H30">
            <v>0.441936389297359</v>
          </cell>
          <cell r="I30">
            <v>2.9321316454</v>
          </cell>
          <cell r="J30">
            <v>-0.1047927338</v>
          </cell>
          <cell r="K30">
            <v>-0.0345062045396088</v>
          </cell>
        </row>
        <row r="31">
          <cell r="A31" t="str">
            <v>2408W1</v>
          </cell>
          <cell r="B31">
            <v>2.80870037328</v>
          </cell>
          <cell r="C31">
            <v>0.40033374178</v>
          </cell>
          <cell r="D31">
            <v>1.07409763856</v>
          </cell>
          <cell r="E31">
            <v>1.33426899294</v>
          </cell>
          <cell r="F31">
            <v>1.17176032976</v>
          </cell>
          <cell r="G31">
            <v>1.63694004352</v>
          </cell>
          <cell r="H31">
            <v>0.417189509036743</v>
          </cell>
          <cell r="I31">
            <v>2.7363264074</v>
          </cell>
          <cell r="J31">
            <v>-0.195805238</v>
          </cell>
          <cell r="K31">
            <v>-0.0667791428489182</v>
          </cell>
        </row>
        <row r="32">
          <cell r="A32" t="str">
            <v>2408W2</v>
          </cell>
          <cell r="B32">
            <v>2.8080010205</v>
          </cell>
          <cell r="C32">
            <v>0.4286760723</v>
          </cell>
          <cell r="D32">
            <v>1.09793869458</v>
          </cell>
          <cell r="E32">
            <v>1.28138625362</v>
          </cell>
          <cell r="F32">
            <v>1.12286381572</v>
          </cell>
          <cell r="G32">
            <v>1.68513720478</v>
          </cell>
          <cell r="H32">
            <v>0.399880130926754</v>
          </cell>
          <cell r="I32">
            <v>2.8310991367</v>
          </cell>
          <cell r="J32">
            <v>0.0947727292999998</v>
          </cell>
          <cell r="K32">
            <v>0.0346350234546948</v>
          </cell>
        </row>
        <row r="33">
          <cell r="A33" t="str">
            <v>2408W3</v>
          </cell>
          <cell r="B33">
            <v>2.72563848946</v>
          </cell>
          <cell r="C33">
            <v>0.44269747908</v>
          </cell>
          <cell r="D33">
            <v>1.1297358676</v>
          </cell>
          <cell r="E33">
            <v>1.15320514278</v>
          </cell>
          <cell r="F33">
            <v>1.10280821794</v>
          </cell>
          <cell r="G33">
            <v>1.62283027152</v>
          </cell>
          <cell r="H33">
            <v>0.404605461144074</v>
          </cell>
          <cell r="I33">
            <v>2.7969990071</v>
          </cell>
          <cell r="J33">
            <v>-0.0341001295999996</v>
          </cell>
          <cell r="K33">
            <v>-0.0120448376949977</v>
          </cell>
        </row>
        <row r="34">
          <cell r="A34" t="str">
            <v>2408W4</v>
          </cell>
          <cell r="B34">
            <v>2.7406539207</v>
          </cell>
          <cell r="C34">
            <v>0.51589821256</v>
          </cell>
          <cell r="D34">
            <v>1.19662157088</v>
          </cell>
          <cell r="E34">
            <v>1.02813413726</v>
          </cell>
          <cell r="F34">
            <v>1.00490955154</v>
          </cell>
          <cell r="G34">
            <v>1.73574436916</v>
          </cell>
          <cell r="H34">
            <v>0.366667802873605</v>
          </cell>
          <cell r="I34">
            <v>2.8308240483</v>
          </cell>
          <cell r="J34">
            <v>0.0338250411999996</v>
          </cell>
          <cell r="K34">
            <v>0.012093333288334</v>
          </cell>
        </row>
        <row r="35">
          <cell r="A35" t="str">
            <v>2408W5</v>
          </cell>
          <cell r="B35">
            <v>2.9025708793</v>
          </cell>
          <cell r="C35">
            <v>0.62708826306</v>
          </cell>
          <cell r="D35">
            <v>1.2141525699</v>
          </cell>
          <cell r="E35">
            <v>1.06133004634</v>
          </cell>
          <cell r="F35">
            <v>1.0395542269</v>
          </cell>
          <cell r="G35">
            <v>1.8630166524</v>
          </cell>
          <cell r="H35">
            <v>0.358149471667925</v>
          </cell>
          <cell r="I35">
            <v>2.8648604391</v>
          </cell>
          <cell r="J35">
            <v>0.0340363908000003</v>
          </cell>
          <cell r="K35">
            <v>0.0120234921772832</v>
          </cell>
        </row>
        <row r="36">
          <cell r="A36" t="str">
            <v>2409W1</v>
          </cell>
          <cell r="B36">
            <v>3.05160591374</v>
          </cell>
          <cell r="C36">
            <v>0.6465823767</v>
          </cell>
          <cell r="D36">
            <v>1.24073699024</v>
          </cell>
          <cell r="E36">
            <v>1.1642865468</v>
          </cell>
          <cell r="F36">
            <v>1.14161781276</v>
          </cell>
          <cell r="G36">
            <v>1.90998810098</v>
          </cell>
          <cell r="H36">
            <v>0.374103945604448</v>
          </cell>
          <cell r="I36">
            <v>3.203271149</v>
          </cell>
          <cell r="J36">
            <v>0.3384107099</v>
          </cell>
          <cell r="K36">
            <v>0.118124675562315</v>
          </cell>
        </row>
        <row r="37">
          <cell r="A37" t="str">
            <v>2409W2</v>
          </cell>
          <cell r="B37">
            <v>3.52588350292</v>
          </cell>
          <cell r="C37">
            <v>0.82786165204</v>
          </cell>
          <cell r="D37">
            <v>1.26155151972</v>
          </cell>
          <cell r="E37">
            <v>1.43647033116</v>
          </cell>
          <cell r="F37">
            <v>1.41048475974</v>
          </cell>
          <cell r="G37">
            <v>2.11539874318</v>
          </cell>
          <cell r="H37">
            <v>0.400037255505433</v>
          </cell>
          <cell r="I37">
            <v>3.6209853195</v>
          </cell>
          <cell r="J37">
            <v>0.4177141705</v>
          </cell>
          <cell r="K37">
            <v>0.13040237653013</v>
          </cell>
        </row>
        <row r="38">
          <cell r="A38" t="str">
            <v>2409W3</v>
          </cell>
          <cell r="B38">
            <v>3.527561757566</v>
          </cell>
          <cell r="C38">
            <v>0.834771928633</v>
          </cell>
          <cell r="D38">
            <v>1.147766894633</v>
          </cell>
          <cell r="E38">
            <v>1.5450229343</v>
          </cell>
          <cell r="F38">
            <v>1.518197310767</v>
          </cell>
          <cell r="G38">
            <v>2.009364446799</v>
          </cell>
          <cell r="H38">
            <v>0.430381497222758</v>
          </cell>
          <cell r="I38">
            <v>3.6375008422</v>
          </cell>
          <cell r="J38">
            <v>0.0165155227000002</v>
          </cell>
          <cell r="K38">
            <v>0.00456105762458069</v>
          </cell>
        </row>
        <row r="39">
          <cell r="A39" t="str">
            <v>2409W4</v>
          </cell>
          <cell r="B39">
            <v>3.6285851844</v>
          </cell>
          <cell r="C39">
            <v>0.83243561954</v>
          </cell>
          <cell r="D39">
            <v>1.12579344958</v>
          </cell>
          <cell r="E39">
            <v>1.67035611528</v>
          </cell>
          <cell r="F39">
            <v>1.6438484784</v>
          </cell>
          <cell r="G39">
            <v>1.984736706</v>
          </cell>
          <cell r="H39">
            <v>0.453027390804335</v>
          </cell>
          <cell r="I39">
            <v>3.6210482959</v>
          </cell>
          <cell r="J39">
            <v>-0.0164525463</v>
          </cell>
          <cell r="K39">
            <v>-0.00452303573627473</v>
          </cell>
        </row>
        <row r="40">
          <cell r="A40" t="str">
            <v>2410W2</v>
          </cell>
          <cell r="B40">
            <v>3.73151165712</v>
          </cell>
          <cell r="C40">
            <v>0.90457357692</v>
          </cell>
          <cell r="D40">
            <v>1.15440708014</v>
          </cell>
          <cell r="E40">
            <v>1.67253100006</v>
          </cell>
          <cell r="F40">
            <v>1.62249025312</v>
          </cell>
          <cell r="G40">
            <v>2.109021404</v>
          </cell>
          <cell r="H40">
            <v>0.434807767523429</v>
          </cell>
          <cell r="I40">
            <v>3.7111134644</v>
          </cell>
          <cell r="J40">
            <v>0.0900651684999998</v>
          </cell>
          <cell r="K40">
            <v>0.0248726780589968</v>
          </cell>
        </row>
        <row r="41">
          <cell r="A41" t="str">
            <v>2410W3</v>
          </cell>
          <cell r="B41">
            <v>4.15345965882</v>
          </cell>
          <cell r="C41">
            <v>1.06599694188</v>
          </cell>
          <cell r="D41">
            <v>1.14066956276</v>
          </cell>
          <cell r="E41">
            <v>1.94679315418</v>
          </cell>
          <cell r="F41">
            <v>1.8728789598</v>
          </cell>
          <cell r="G41">
            <v>2.28058069902</v>
          </cell>
          <cell r="H41">
            <v>0.450920224016835</v>
          </cell>
          <cell r="I41">
            <v>4.2523453614</v>
          </cell>
          <cell r="J41">
            <v>0.541231897</v>
          </cell>
          <cell r="K41">
            <v>0.145840837848784</v>
          </cell>
        </row>
        <row r="42">
          <cell r="A42" t="str">
            <v>2410W4</v>
          </cell>
          <cell r="B42">
            <v>4.6873205683</v>
          </cell>
          <cell r="C42">
            <v>1.79547119798</v>
          </cell>
          <cell r="D42">
            <v>1.10183679692</v>
          </cell>
          <cell r="E42">
            <v>1.7900125734</v>
          </cell>
          <cell r="F42">
            <v>1.71555072014</v>
          </cell>
          <cell r="G42">
            <v>2.97176984816</v>
          </cell>
          <cell r="H42">
            <v>0.365998163586707</v>
          </cell>
          <cell r="I42">
            <v>4.9313263898</v>
          </cell>
          <cell r="J42">
            <v>0.6789810284</v>
          </cell>
          <cell r="K42">
            <v>0.159672126954538</v>
          </cell>
        </row>
        <row r="43">
          <cell r="A43" t="str">
            <v>2411W1</v>
          </cell>
          <cell r="B43">
            <v>4.73326942518</v>
          </cell>
          <cell r="C43">
            <v>1.76120308848</v>
          </cell>
          <cell r="D43">
            <v>1.1064514239</v>
          </cell>
          <cell r="E43">
            <v>1.8656149128</v>
          </cell>
          <cell r="F43">
            <v>1.7889318891</v>
          </cell>
          <cell r="G43">
            <v>2.94433753608</v>
          </cell>
          <cell r="H43">
            <v>0.37794845980735</v>
          </cell>
          <cell r="I43">
            <v>4.8845581851</v>
          </cell>
          <cell r="J43">
            <v>-0.0467682046999993</v>
          </cell>
          <cell r="K43">
            <v>-0.00948389966576439</v>
          </cell>
        </row>
        <row r="44">
          <cell r="A44" t="str">
            <v>2411W2</v>
          </cell>
          <cell r="B44">
            <v>4.53611744702</v>
          </cell>
          <cell r="C44">
            <v>1.93113708402</v>
          </cell>
          <cell r="D44">
            <v>1.0055913476</v>
          </cell>
          <cell r="E44">
            <v>1.5993890154</v>
          </cell>
          <cell r="F44">
            <v>1.52223030268</v>
          </cell>
          <cell r="G44">
            <v>3.01388714434</v>
          </cell>
          <cell r="H44">
            <v>0.335580002162428</v>
          </cell>
          <cell r="I44">
            <v>4.4947307985</v>
          </cell>
          <cell r="J44">
            <v>-0.3898273866</v>
          </cell>
          <cell r="K44">
            <v>-0.079808116072635</v>
          </cell>
        </row>
        <row r="45">
          <cell r="A45" t="str">
            <v>2411W3</v>
          </cell>
          <cell r="B45">
            <v>4.26536747776</v>
          </cell>
          <cell r="C45">
            <v>1.95292400776</v>
          </cell>
          <cell r="D45">
            <v>1.07201419046</v>
          </cell>
          <cell r="E45">
            <v>1.24042927954</v>
          </cell>
          <cell r="F45">
            <v>1.1634589042</v>
          </cell>
          <cell r="G45">
            <v>3.10190857356</v>
          </cell>
          <cell r="H45">
            <v>0.272768738043411</v>
          </cell>
          <cell r="I45">
            <v>4.2237732095</v>
          </cell>
          <cell r="J45">
            <v>-0.270957589</v>
          </cell>
          <cell r="K45">
            <v>-0.0602833854010623</v>
          </cell>
        </row>
        <row r="46">
          <cell r="A46" t="str">
            <v>2411W4</v>
          </cell>
          <cell r="B46">
            <v>4.30703691874</v>
          </cell>
          <cell r="C46">
            <v>1.98835625596</v>
          </cell>
          <cell r="D46">
            <v>1.0839536944</v>
          </cell>
          <cell r="E46">
            <v>1.23472696838</v>
          </cell>
          <cell r="F46">
            <v>1.15752917654</v>
          </cell>
          <cell r="G46">
            <v>3.1495077422</v>
          </cell>
          <cell r="H46">
            <v>0.268753019391027</v>
          </cell>
          <cell r="I46">
            <v>4.7134241937</v>
          </cell>
          <cell r="J46">
            <v>0.4896509842</v>
          </cell>
          <cell r="K46">
            <v>0.115927385281646</v>
          </cell>
        </row>
        <row r="47">
          <cell r="A47" t="str">
            <v>2411W5</v>
          </cell>
          <cell r="B47">
            <v>4.065267151</v>
          </cell>
          <cell r="C47">
            <v>1.6257105909</v>
          </cell>
          <cell r="D47">
            <v>1.0690843581</v>
          </cell>
          <cell r="E47">
            <v>1.370472202</v>
          </cell>
          <cell r="F47">
            <v>1.29417492816</v>
          </cell>
          <cell r="G47">
            <v>2.77109222284</v>
          </cell>
          <cell r="H47">
            <v>0.318349294176559</v>
          </cell>
          <cell r="I47">
            <v>3.1930291889</v>
          </cell>
          <cell r="J47">
            <v>-1.5203950048</v>
          </cell>
          <cell r="K47">
            <v>-0.322566979401551</v>
          </cell>
        </row>
        <row r="48">
          <cell r="A48" t="str">
            <v>2412W1</v>
          </cell>
          <cell r="B48">
            <v>4.2058848399</v>
          </cell>
          <cell r="C48">
            <v>1.96086177172</v>
          </cell>
          <cell r="D48">
            <v>1.05081280768</v>
          </cell>
          <cell r="E48">
            <v>1.1942102605</v>
          </cell>
          <cell r="F48">
            <v>1.14952671694</v>
          </cell>
          <cell r="G48">
            <v>3.05635812296</v>
          </cell>
          <cell r="H48">
            <v>0.273313882975296</v>
          </cell>
          <cell r="I48">
            <v>4.0755290339</v>
          </cell>
          <cell r="J48">
            <v>0.882499844999999</v>
          </cell>
          <cell r="K48">
            <v>0.276383268924648</v>
          </cell>
        </row>
        <row r="49">
          <cell r="A49" t="str">
            <v>2412W2</v>
          </cell>
          <cell r="B49">
            <v>4.12895845768</v>
          </cell>
          <cell r="C49">
            <v>1.96468868698</v>
          </cell>
          <cell r="D49">
            <v>1.0262772348</v>
          </cell>
          <cell r="E49">
            <v>1.1379925359</v>
          </cell>
          <cell r="F49">
            <v>1.11521818214</v>
          </cell>
          <cell r="G49">
            <v>3.01374027554</v>
          </cell>
          <cell r="H49">
            <v>0.270096731069226</v>
          </cell>
          <cell r="I49">
            <v>4.082790239</v>
          </cell>
          <cell r="J49">
            <v>0.00726120510000072</v>
          </cell>
          <cell r="K49">
            <v>0.00178165951943968</v>
          </cell>
        </row>
        <row r="50">
          <cell r="A50" t="str">
            <v>2412W3</v>
          </cell>
          <cell r="B50">
            <v>4.307745149738</v>
          </cell>
          <cell r="C50">
            <v>1.993587473838</v>
          </cell>
          <cell r="D50">
            <v>1.0702284172</v>
          </cell>
          <cell r="E50">
            <v>1.2439292587</v>
          </cell>
          <cell r="F50">
            <v>1.22116341138</v>
          </cell>
          <cell r="G50">
            <v>3.086581738358</v>
          </cell>
          <cell r="H50">
            <v>0.28348088592341</v>
          </cell>
          <cell r="I50">
            <v>4.438556514491</v>
          </cell>
          <cell r="J50">
            <v>0.355766275491</v>
          </cell>
          <cell r="K50">
            <v>0.0871380244061076</v>
          </cell>
        </row>
        <row r="51">
          <cell r="A51" t="str">
            <v>2412W4</v>
          </cell>
          <cell r="B51">
            <v>4.607907343211</v>
          </cell>
          <cell r="C51">
            <v>1.985111977911</v>
          </cell>
          <cell r="D51">
            <v>1.22607463844</v>
          </cell>
          <cell r="E51">
            <v>1.39672072686</v>
          </cell>
          <cell r="F51">
            <v>1.3737228964</v>
          </cell>
          <cell r="G51">
            <v>3.234184446811</v>
          </cell>
          <cell r="H51">
            <v>0.298122942602992</v>
          </cell>
          <cell r="I51">
            <v>4.931932195091</v>
          </cell>
          <cell r="J51">
            <v>0.4933756806</v>
          </cell>
          <cell r="K51">
            <v>0.111156786894394</v>
          </cell>
        </row>
        <row r="52">
          <cell r="A52" t="str">
            <v>2501W1</v>
          </cell>
          <cell r="B52">
            <v>4.181201300741</v>
          </cell>
          <cell r="C52">
            <v>1.717491938016</v>
          </cell>
          <cell r="D52">
            <v>1.3013376481</v>
          </cell>
          <cell r="E52">
            <v>1.162371714625</v>
          </cell>
          <cell r="F52">
            <v>1.1375765762</v>
          </cell>
          <cell r="G52">
            <v>3.043624724541</v>
          </cell>
          <cell r="H52">
            <v>0.272069315581241</v>
          </cell>
          <cell r="I52">
            <v>4.231543006191</v>
          </cell>
          <cell r="J52">
            <v>-0.7003891889</v>
          </cell>
          <cell r="K52">
            <v>-0.142011114750753</v>
          </cell>
        </row>
        <row r="53">
          <cell r="A53" t="str">
            <v>2501W2</v>
          </cell>
          <cell r="B53">
            <v>3.911384932311</v>
          </cell>
          <cell r="C53">
            <v>1.886124201431</v>
          </cell>
          <cell r="D53">
            <v>1.04199277702</v>
          </cell>
          <cell r="E53">
            <v>0.98326795386</v>
          </cell>
          <cell r="F53">
            <v>0.9353053843</v>
          </cell>
          <cell r="G53">
            <v>2.976079548011</v>
          </cell>
          <cell r="H53">
            <v>0.239123839889465</v>
          </cell>
          <cell r="I53">
            <v>3.898951007491</v>
          </cell>
          <cell r="J53">
            <v>-0.3325919987</v>
          </cell>
          <cell r="K53">
            <v>-0.0785982792124287</v>
          </cell>
        </row>
        <row r="54">
          <cell r="A54" t="str">
            <v>2501W3</v>
          </cell>
          <cell r="B54">
            <v>4.052144861071</v>
          </cell>
          <cell r="C54">
            <v>1.842469016351</v>
          </cell>
          <cell r="D54">
            <v>1.11495692006</v>
          </cell>
          <cell r="E54">
            <v>1.09471892466</v>
          </cell>
          <cell r="F54">
            <v>1.04122544016</v>
          </cell>
          <cell r="G54">
            <v>3.010919420911</v>
          </cell>
          <cell r="H54">
            <v>0.25695661825002</v>
          </cell>
          <cell r="I54">
            <v>4.169348359291</v>
          </cell>
          <cell r="J54">
            <v>0.2703973518</v>
          </cell>
          <cell r="K54">
            <v>0.0693513078980703</v>
          </cell>
        </row>
        <row r="55">
          <cell r="A55" t="str">
            <v>2501W4</v>
          </cell>
          <cell r="B55">
            <v>4.316133873991</v>
          </cell>
          <cell r="C55">
            <v>1.947397184811</v>
          </cell>
          <cell r="D55">
            <v>1.22688880056</v>
          </cell>
          <cell r="E55">
            <v>1.14184788862</v>
          </cell>
          <cell r="F55">
            <v>1.09594725924</v>
          </cell>
          <cell r="G55">
            <v>3.220186614751</v>
          </cell>
          <cell r="H55">
            <v>0.253918736358984</v>
          </cell>
          <cell r="I55">
            <v>4.530665949791</v>
          </cell>
          <cell r="J55">
            <v>0.3613175905</v>
          </cell>
          <cell r="K55">
            <v>0.086660446516741</v>
          </cell>
        </row>
        <row r="56">
          <cell r="A56" t="str">
            <v>2502W1</v>
          </cell>
          <cell r="B56">
            <v>4.121066182641</v>
          </cell>
          <cell r="C56">
            <v>1.744944217291</v>
          </cell>
          <cell r="D56">
            <v>1.169718794325</v>
          </cell>
          <cell r="E56">
            <v>1.206403171025</v>
          </cell>
          <cell r="F56">
            <v>1.166727205375</v>
          </cell>
          <cell r="G56">
            <v>2.954338977266</v>
          </cell>
          <cell r="H56">
            <v>0.283112950306296</v>
          </cell>
          <cell r="I56">
            <v>4.195297962691</v>
          </cell>
          <cell r="J56">
            <v>-0.3353679871</v>
          </cell>
          <cell r="K56">
            <v>-0.0740217863811986</v>
          </cell>
        </row>
        <row r="57">
          <cell r="A57" t="str">
            <v>2502W2</v>
          </cell>
          <cell r="B57">
            <v>4.190484926971</v>
          </cell>
          <cell r="C57">
            <v>1.978641866791</v>
          </cell>
          <cell r="D57">
            <v>1.09471821854</v>
          </cell>
          <cell r="E57">
            <v>1.11712484164</v>
          </cell>
          <cell r="F57">
            <v>1.0642049874</v>
          </cell>
          <cell r="G57">
            <v>3.126279939571</v>
          </cell>
          <cell r="H57">
            <v>0.253957478894749</v>
          </cell>
          <cell r="I57">
            <v>4.043747956591</v>
          </cell>
          <cell r="J57">
            <v>-0.1515500061</v>
          </cell>
          <cell r="K57">
            <v>-0.0361237765345255</v>
          </cell>
        </row>
        <row r="58">
          <cell r="A58" t="str">
            <v>2502W3</v>
          </cell>
          <cell r="B58">
            <v>4.097967834531</v>
          </cell>
          <cell r="C58">
            <v>1.999027878551</v>
          </cell>
          <cell r="D58">
            <v>1.17713136054</v>
          </cell>
          <cell r="E58">
            <v>0.92180859544</v>
          </cell>
          <cell r="F58">
            <v>0.86453863324</v>
          </cell>
          <cell r="G58">
            <v>3.233429201291</v>
          </cell>
          <cell r="H58">
            <v>0.210967647416623</v>
          </cell>
          <cell r="I58">
            <v>4.100509395191</v>
          </cell>
          <cell r="J58">
            <v>0.0567614385999997</v>
          </cell>
          <cell r="K58">
            <v>0.014036838895333</v>
          </cell>
        </row>
        <row r="59">
          <cell r="A59" t="str">
            <v>2502W4</v>
          </cell>
          <cell r="B59">
            <v>3.939873982851</v>
          </cell>
          <cell r="C59">
            <v>1.718756819631</v>
          </cell>
          <cell r="D59">
            <v>1.2538932732</v>
          </cell>
          <cell r="E59">
            <v>0.96722389002</v>
          </cell>
          <cell r="F59">
            <v>0.9094157359</v>
          </cell>
          <cell r="G59">
            <v>3.030458246951</v>
          </cell>
          <cell r="H59">
            <v>0.230823559296158</v>
          </cell>
          <cell r="I59">
            <v>3.362933492791</v>
          </cell>
          <cell r="J59">
            <v>-0.7375759024</v>
          </cell>
          <cell r="K59">
            <v>-0.179874213497722</v>
          </cell>
        </row>
        <row r="60">
          <cell r="A60" t="str">
            <v>2503W1</v>
          </cell>
          <cell r="B60">
            <v>4.581553899871</v>
          </cell>
          <cell r="C60">
            <v>2.094728391731</v>
          </cell>
          <cell r="D60">
            <v>1.34453600578</v>
          </cell>
          <cell r="E60">
            <v>1.14228950236</v>
          </cell>
          <cell r="F60">
            <v>1.07940530482</v>
          </cell>
          <cell r="G60">
            <v>3.502148595051</v>
          </cell>
          <cell r="H60">
            <v>0.235598080566157</v>
          </cell>
          <cell r="I60">
            <v>4.508819307991</v>
          </cell>
          <cell r="J60">
            <v>1.1458858152</v>
          </cell>
          <cell r="K60">
            <v>0.340739957437872</v>
          </cell>
        </row>
        <row r="61">
          <cell r="A61" t="str">
            <v>2503W2</v>
          </cell>
          <cell r="B61">
            <v>4.613860188311</v>
          </cell>
          <cell r="C61">
            <v>2.118741410031</v>
          </cell>
          <cell r="D61">
            <v>1.27100236076</v>
          </cell>
          <cell r="E61">
            <v>1.22411641752</v>
          </cell>
          <cell r="F61">
            <v>1.15952797156</v>
          </cell>
          <cell r="G61">
            <v>3.454332216751</v>
          </cell>
          <cell r="H61">
            <v>0.251314067664558</v>
          </cell>
          <cell r="I61">
            <v>4.611115262991</v>
          </cell>
          <cell r="J61">
            <v>0.102295955000001</v>
          </cell>
          <cell r="K61">
            <v>0.0226879695131497</v>
          </cell>
        </row>
        <row r="62">
          <cell r="A62" t="str">
            <v>2503W3</v>
          </cell>
          <cell r="B62">
            <v>4.919194067011</v>
          </cell>
          <cell r="C62">
            <v>2.218341529271</v>
          </cell>
          <cell r="D62">
            <v>1.15924149548</v>
          </cell>
          <cell r="E62">
            <v>1.54161104226</v>
          </cell>
          <cell r="F62">
            <v>1.47580794036</v>
          </cell>
          <cell r="G62">
            <v>3.443386126651</v>
          </cell>
          <cell r="H62">
            <v>0.3000101073989</v>
          </cell>
          <cell r="I62">
            <v>5.085245289791</v>
          </cell>
          <cell r="J62">
            <v>0.474130026799999</v>
          </cell>
          <cell r="K62">
            <v>0.102823286723146</v>
          </cell>
        </row>
        <row r="63">
          <cell r="A63" t="str">
            <v>2503W4</v>
          </cell>
          <cell r="B63">
            <v>5.216906785071</v>
          </cell>
          <cell r="C63">
            <v>2.237726378611</v>
          </cell>
          <cell r="D63">
            <v>1.30359247702</v>
          </cell>
          <cell r="E63">
            <v>1.67558792944</v>
          </cell>
          <cell r="F63">
            <v>1.6209789647</v>
          </cell>
          <cell r="G63">
            <v>3.595927820371</v>
          </cell>
          <cell r="H63">
            <v>0.310716489958894</v>
          </cell>
          <cell r="I63">
            <v>5.172695139091</v>
          </cell>
          <cell r="J63">
            <v>0.0874498493000004</v>
          </cell>
          <cell r="K63">
            <v>0.0171967809449747</v>
          </cell>
        </row>
        <row r="64">
          <cell r="A64" t="str">
            <v>2504W1</v>
          </cell>
          <cell r="B64">
            <v>4.737853992166</v>
          </cell>
          <cell r="C64">
            <v>2.227029749716</v>
          </cell>
          <cell r="D64">
            <v>1.2915253485</v>
          </cell>
          <cell r="E64">
            <v>1.21929889395</v>
          </cell>
          <cell r="F64">
            <v>1.164839772625</v>
          </cell>
          <cell r="G64">
            <v>3.573014219541</v>
          </cell>
          <cell r="H64">
            <v>0.245858098318575</v>
          </cell>
          <cell r="I64">
            <v>4.913785016091</v>
          </cell>
          <cell r="J64">
            <v>-0.258910123</v>
          </cell>
          <cell r="K64">
            <v>-0.0500532345398376</v>
          </cell>
        </row>
        <row r="65">
          <cell r="A65" t="str">
            <v>2504W2</v>
          </cell>
          <cell r="B65">
            <v>5.032359685651</v>
          </cell>
          <cell r="C65">
            <v>2.342090085251</v>
          </cell>
          <cell r="D65">
            <v>1.20115701362</v>
          </cell>
          <cell r="E65">
            <v>1.48911258678</v>
          </cell>
          <cell r="F65">
            <v>1.43417301848</v>
          </cell>
          <cell r="G65">
            <v>3.598186667171</v>
          </cell>
          <cell r="H65">
            <v>0.284990165263688</v>
          </cell>
          <cell r="I65">
            <v>5.052335911591</v>
          </cell>
          <cell r="J65">
            <v>0.1385508955</v>
          </cell>
          <cell r="K65">
            <v>0.0281963689999241</v>
          </cell>
        </row>
        <row r="66">
          <cell r="A66" t="str">
            <v>2504W3</v>
          </cell>
          <cell r="B66">
            <v>4.974945193811</v>
          </cell>
          <cell r="C66">
            <v>2.276839164751</v>
          </cell>
          <cell r="D66">
            <v>1.26439951906</v>
          </cell>
          <cell r="E66">
            <v>1.43370651</v>
          </cell>
          <cell r="F66">
            <v>1.3794533934</v>
          </cell>
          <cell r="G66">
            <v>3.595491800411</v>
          </cell>
          <cell r="H66">
            <v>0.277280118606349</v>
          </cell>
          <cell r="I66">
            <v>4.778606397291</v>
          </cell>
          <cell r="J66">
            <v>-0.2737295143</v>
          </cell>
          <cell r="K66">
            <v>-0.0541788034465432</v>
          </cell>
        </row>
        <row r="67">
          <cell r="A67" t="str">
            <v>2504W4</v>
          </cell>
          <cell r="B67">
            <v>5.186335944511</v>
          </cell>
          <cell r="C67">
            <v>2.227871365951</v>
          </cell>
          <cell r="D67">
            <v>1.31334059836</v>
          </cell>
          <cell r="E67">
            <v>1.6451239802</v>
          </cell>
          <cell r="F67">
            <v>1.59509606284</v>
          </cell>
          <cell r="G67">
            <v>3.591239881671</v>
          </cell>
          <cell r="H67">
            <v>0.307557412382471</v>
          </cell>
          <cell r="I67">
            <v>6.551081241391</v>
          </cell>
          <cell r="J67">
            <v>1.7724748441</v>
          </cell>
          <cell r="K67">
            <v>0.37091877772248</v>
          </cell>
        </row>
        <row r="68">
          <cell r="A68" t="str">
            <v>2505W1</v>
          </cell>
          <cell r="B68">
            <v>6.405164517691</v>
          </cell>
          <cell r="C68">
            <v>2.209728228158</v>
          </cell>
          <cell r="D68">
            <v>1.287222283933</v>
          </cell>
          <cell r="E68">
            <v>2.9082140056</v>
          </cell>
          <cell r="F68">
            <v>2.8638968552</v>
          </cell>
          <cell r="G68">
            <v>3.541267662491</v>
          </cell>
          <cell r="H68">
            <v>0.447123075026402</v>
          </cell>
          <cell r="I68">
            <v>4.982368241691</v>
          </cell>
          <cell r="J68">
            <v>-1.5687129997</v>
          </cell>
          <cell r="K68">
            <v>-0.2394586392531</v>
          </cell>
        </row>
        <row r="69">
          <cell r="A69" t="str">
            <v>2505W2</v>
          </cell>
          <cell r="B69">
            <v>5.264558031866</v>
          </cell>
          <cell r="C69">
            <v>2.297753315991</v>
          </cell>
          <cell r="D69">
            <v>1.368937665875</v>
          </cell>
          <cell r="E69">
            <v>1.59786705</v>
          </cell>
          <cell r="F69">
            <v>1.552409370525</v>
          </cell>
          <cell r="G69">
            <v>3.712148661341</v>
          </cell>
          <cell r="H69">
            <v>0.294879334813744</v>
          </cell>
          <cell r="I69">
            <v>5.914563871191</v>
          </cell>
          <cell r="J69">
            <v>0.9321956295</v>
          </cell>
          <cell r="K69">
            <v>0.187098902425489</v>
          </cell>
        </row>
        <row r="70">
          <cell r="A70" t="str">
            <v>2505W3</v>
          </cell>
          <cell r="B70">
            <v>5.646427200371</v>
          </cell>
          <cell r="C70">
            <v>2.342573256751</v>
          </cell>
          <cell r="D70">
            <v>1.40487758314</v>
          </cell>
          <cell r="E70">
            <v>1.89897636048</v>
          </cell>
          <cell r="F70">
            <v>1.85134133402</v>
          </cell>
          <cell r="G70">
            <v>3.795085866351</v>
          </cell>
          <cell r="H70">
            <v>0.327878367739933</v>
          </cell>
          <cell r="I70">
            <v>5.387549344791</v>
          </cell>
          <cell r="J70">
            <v>-0.527014526399999</v>
          </cell>
          <cell r="K70">
            <v>-0.0891045456397914</v>
          </cell>
        </row>
        <row r="71">
          <cell r="A71" t="str">
            <v>2505W4</v>
          </cell>
          <cell r="B71">
            <v>5.303404771351</v>
          </cell>
          <cell r="C71">
            <v>2.351533239471</v>
          </cell>
          <cell r="D71">
            <v>1.51546012898</v>
          </cell>
          <cell r="E71">
            <v>1.4364114029</v>
          </cell>
          <cell r="F71">
            <v>1.39305622064</v>
          </cell>
          <cell r="G71">
            <v>3.910348550711</v>
          </cell>
          <cell r="H71">
            <v>0.262672053275151</v>
          </cell>
          <cell r="I71">
            <v>5.311863177691</v>
          </cell>
          <cell r="J71">
            <v>-0.0756861671000006</v>
          </cell>
          <cell r="K71">
            <v>-0.0140483478212925</v>
          </cell>
        </row>
        <row r="72">
          <cell r="A72" t="str">
            <v>2505W5</v>
          </cell>
          <cell r="B72">
            <v>5.308332875791</v>
          </cell>
          <cell r="C72">
            <v>2.340432256831</v>
          </cell>
          <cell r="D72">
            <v>1.49458323112</v>
          </cell>
          <cell r="E72">
            <v>1.47331738784</v>
          </cell>
          <cell r="F72">
            <v>1.44400757242</v>
          </cell>
          <cell r="G72">
            <v>3.864325303371</v>
          </cell>
          <cell r="H72">
            <v>0.27202656770179</v>
          </cell>
          <cell r="I72">
            <v>4.924883389491</v>
          </cell>
          <cell r="J72">
            <v>-0.3869797882</v>
          </cell>
          <cell r="K72">
            <v>-0.0728519871944847</v>
          </cell>
        </row>
        <row r="73">
          <cell r="A73" t="str">
            <v>2506W1</v>
          </cell>
          <cell r="B73">
            <v>4.827697199341</v>
          </cell>
          <cell r="C73">
            <v>2.094338129066</v>
          </cell>
          <cell r="D73">
            <v>1.59169884455</v>
          </cell>
          <cell r="E73">
            <v>1.141660225725</v>
          </cell>
          <cell r="F73">
            <v>1.111480058325</v>
          </cell>
          <cell r="G73">
            <v>3.716217141016</v>
          </cell>
          <cell r="H73">
            <v>0.230229861656759</v>
          </cell>
          <cell r="I73">
            <v>4.830185122791</v>
          </cell>
          <cell r="J73">
            <v>-0.0946982666999991</v>
          </cell>
          <cell r="K73">
            <v>-0.0192285297357643</v>
          </cell>
        </row>
        <row r="74">
          <cell r="A74" t="str">
            <v>2506W2</v>
          </cell>
          <cell r="B74">
            <v>4.859431659091</v>
          </cell>
          <cell r="C74">
            <v>2.070127741551</v>
          </cell>
          <cell r="D74">
            <v>1.49550016656</v>
          </cell>
          <cell r="E74">
            <v>1.29380375098</v>
          </cell>
          <cell r="F74">
            <v>1.26321407116</v>
          </cell>
          <cell r="G74">
            <v>3.596217587931</v>
          </cell>
          <cell r="H74">
            <v>0.259950990111526</v>
          </cell>
          <cell r="I74">
            <v>5.057419974991</v>
          </cell>
          <cell r="J74">
            <v>0.2272348522</v>
          </cell>
          <cell r="K74">
            <v>0.0470447501334478</v>
          </cell>
        </row>
        <row r="75">
          <cell r="A75" t="str">
            <v>2506W3</v>
          </cell>
          <cell r="B75">
            <v>4.853934604211</v>
          </cell>
          <cell r="C75">
            <v>2.084218755171</v>
          </cell>
          <cell r="D75">
            <v>1.48705975734</v>
          </cell>
          <cell r="E75">
            <v>1.2826560917</v>
          </cell>
          <cell r="F75">
            <v>1.25199097094</v>
          </cell>
          <cell r="G75">
            <v>3.601943633271</v>
          </cell>
          <cell r="H75">
            <v>0.257933217693918</v>
          </cell>
          <cell r="I75">
            <v>4.909166531491</v>
          </cell>
          <cell r="J75">
            <v>-0.1482534435</v>
          </cell>
          <cell r="K75">
            <v>-0.0293140463384719</v>
          </cell>
        </row>
        <row r="76">
          <cell r="A76" t="str">
            <v>2506W4</v>
          </cell>
          <cell r="B76">
            <v>4.852718502371</v>
          </cell>
          <cell r="C76">
            <v>2.056278858431</v>
          </cell>
          <cell r="D76">
            <v>1.51776932594</v>
          </cell>
          <cell r="E76">
            <v>1.278670318</v>
          </cell>
          <cell r="F76">
            <v>1.24808132798</v>
          </cell>
          <cell r="G76">
            <v>3.604637174391</v>
          </cell>
          <cell r="H76">
            <v>0.257192195955771</v>
          </cell>
          <cell r="I76">
            <v>4.889277188291</v>
          </cell>
          <cell r="J76">
            <v>-0.0198893432000009</v>
          </cell>
          <cell r="K76">
            <v>-0.00405147046294234</v>
          </cell>
        </row>
        <row r="77">
          <cell r="A77" t="str">
            <v>2507W1</v>
          </cell>
          <cell r="B77">
            <v>4.508602281631</v>
          </cell>
          <cell r="C77">
            <v>2.007278088171</v>
          </cell>
          <cell r="D77">
            <v>1.52946244812</v>
          </cell>
          <cell r="E77">
            <v>0.97186174534</v>
          </cell>
          <cell r="F77">
            <v>0.93994833844</v>
          </cell>
          <cell r="G77">
            <v>3.568653943191</v>
          </cell>
          <cell r="H77">
            <v>0.208478876539975</v>
          </cell>
          <cell r="I77">
            <v>4.523944454491</v>
          </cell>
          <cell r="J77">
            <v>-0.365332733799999</v>
          </cell>
          <cell r="K77">
            <v>-0.0747212153720615</v>
          </cell>
        </row>
        <row r="78">
          <cell r="A78" t="str">
            <v>2507W2</v>
          </cell>
          <cell r="B78">
            <v>4.458581024211</v>
          </cell>
          <cell r="C78">
            <v>1.954553533031</v>
          </cell>
          <cell r="D78">
            <v>1.5190207929</v>
          </cell>
          <cell r="E78">
            <v>0.98500669828</v>
          </cell>
          <cell r="F78">
            <v>0.9521666425</v>
          </cell>
          <cell r="G78">
            <v>3.506414381711</v>
          </cell>
          <cell r="H78">
            <v>0.213558223418963</v>
          </cell>
          <cell r="I78">
            <v>4.560594817891</v>
          </cell>
          <cell r="J78">
            <v>0.0366503633999997</v>
          </cell>
          <cell r="K78">
            <v>0.00810141763867508</v>
          </cell>
        </row>
        <row r="79">
          <cell r="A79" t="str">
            <v>2507W3</v>
          </cell>
          <cell r="B79">
            <v>4.542634450391</v>
          </cell>
          <cell r="C79">
            <v>1.959901242791</v>
          </cell>
          <cell r="D79">
            <v>1.50891208888</v>
          </cell>
          <cell r="E79">
            <v>1.07382111872</v>
          </cell>
          <cell r="F79">
            <v>1.04157789518</v>
          </cell>
          <cell r="G79">
            <v>3.501056555211</v>
          </cell>
          <cell r="H79">
            <v>0.229289392874293</v>
          </cell>
          <cell r="I79">
            <v>4.692957551291</v>
          </cell>
          <cell r="J79">
            <v>0.1323627334</v>
          </cell>
          <cell r="K79">
            <v>0.0290231293691663</v>
          </cell>
        </row>
        <row r="80">
          <cell r="A80" t="str">
            <v>2507W4</v>
          </cell>
          <cell r="B80">
            <v>4.737539283091</v>
          </cell>
          <cell r="C80">
            <v>1.979339636531</v>
          </cell>
          <cell r="D80">
            <v>1.66572974436</v>
          </cell>
          <cell r="E80">
            <v>1.0924699022</v>
          </cell>
          <cell r="F80">
            <v>1.06304118404</v>
          </cell>
          <cell r="G80">
            <v>3.674498099051</v>
          </cell>
          <cell r="H80">
            <v>0.224386779827696</v>
          </cell>
          <cell r="I80">
            <v>4.850525449491</v>
          </cell>
          <cell r="J80">
            <v>0.1575678982</v>
          </cell>
          <cell r="K80">
            <v>0.0335753938700456</v>
          </cell>
        </row>
        <row r="81">
          <cell r="A81" t="str">
            <v>2508W1</v>
          </cell>
          <cell r="B81">
            <v>4.720205321631</v>
          </cell>
          <cell r="C81">
            <v>1.943078108631</v>
          </cell>
          <cell r="D81">
            <v>1.59550139446</v>
          </cell>
          <cell r="E81">
            <v>1.18162581854</v>
          </cell>
          <cell r="F81">
            <v>1.1504096856</v>
          </cell>
          <cell r="G81">
            <v>3.569795636031</v>
          </cell>
          <cell r="H81">
            <v>0.243720263677533</v>
          </cell>
          <cell r="I81">
            <v>4.593739927991</v>
          </cell>
          <cell r="J81">
            <v>-0.2567855215</v>
          </cell>
          <cell r="K81">
            <v>-0.0529397328544986</v>
          </cell>
        </row>
        <row r="82">
          <cell r="A82" t="str">
            <v>2508W2</v>
          </cell>
          <cell r="B82">
            <v>4.782672672831</v>
          </cell>
          <cell r="C82">
            <v>1.873207754971</v>
          </cell>
          <cell r="D82">
            <v>1.63275242126</v>
          </cell>
          <cell r="E82">
            <v>1.2767124966</v>
          </cell>
          <cell r="F82">
            <v>1.246251087</v>
          </cell>
          <cell r="G82">
            <v>3.536421585831</v>
          </cell>
          <cell r="H82">
            <v>0.26057628699526</v>
          </cell>
          <cell r="I82">
            <v>4.648295378791</v>
          </cell>
          <cell r="J82">
            <v>0.0545554508000006</v>
          </cell>
          <cell r="K82">
            <v>0.0118760425394521</v>
          </cell>
        </row>
        <row r="83">
          <cell r="A83" t="str">
            <v>2508W3</v>
          </cell>
          <cell r="B83">
            <v>4.772839505171</v>
          </cell>
          <cell r="C83">
            <v>1.839438316491</v>
          </cell>
          <cell r="D83">
            <v>1.39399956942</v>
          </cell>
          <cell r="E83">
            <v>1.53940161926</v>
          </cell>
          <cell r="F83">
            <v>1.51112038462</v>
          </cell>
          <cell r="G83">
            <v>3.261719120551</v>
          </cell>
          <cell r="H83">
            <v>0.316608254474683</v>
          </cell>
          <cell r="I83">
            <v>4.515487158091</v>
          </cell>
          <cell r="J83">
            <v>-0.132808220700001</v>
          </cell>
          <cell r="K83">
            <v>-0.0285713815232078</v>
          </cell>
        </row>
        <row r="84">
          <cell r="A84" t="str">
            <v>2508W4</v>
          </cell>
          <cell r="B84">
            <v>4.683067623611</v>
          </cell>
          <cell r="C84">
            <v>1.810292222831</v>
          </cell>
          <cell r="D84">
            <v>1.32428469832</v>
          </cell>
          <cell r="E84">
            <v>1.54849070246</v>
          </cell>
          <cell r="F84">
            <v>1.52372590696</v>
          </cell>
          <cell r="G84">
            <v>3.159341716651</v>
          </cell>
          <cell r="H84">
            <v>0.325369187341585</v>
          </cell>
          <cell r="I84">
            <v>4.324496951891</v>
          </cell>
          <cell r="J84">
            <v>-0.190990206199999</v>
          </cell>
          <cell r="K84">
            <v>-0.0422967001152414</v>
          </cell>
        </row>
        <row r="85">
          <cell r="A85" t="str">
            <v>2508W5</v>
          </cell>
          <cell r="B85">
            <v>4.289520061371</v>
          </cell>
          <cell r="C85">
            <v>1.793227835631</v>
          </cell>
          <cell r="D85">
            <v>1.28985823424</v>
          </cell>
          <cell r="E85">
            <v>1.2064339915</v>
          </cell>
          <cell r="F85">
            <v>1.18409036192</v>
          </cell>
          <cell r="G85">
            <v>3.105429699451</v>
          </cell>
          <cell r="H85">
            <v>0.276042621314037</v>
          </cell>
          <cell r="I85">
            <v>3.902073281891</v>
          </cell>
          <cell r="J85">
            <v>-0.422423670000001</v>
          </cell>
          <cell r="K85">
            <v>-0.0976815742268669</v>
          </cell>
        </row>
        <row r="102">
          <cell r="A102" t="str">
            <v>周</v>
          </cell>
          <cell r="B102" t="str">
            <v>全部</v>
          </cell>
          <cell r="C102" t="str">
            <v>特殊法人</v>
          </cell>
          <cell r="D102" t="str">
            <v>自然人</v>
          </cell>
          <cell r="E102" t="str">
            <v>法人</v>
          </cell>
          <cell r="F102" t="str">
            <v>集团客户</v>
          </cell>
          <cell r="G102" t="str">
            <v>非集团客户</v>
          </cell>
          <cell r="H102" t="str">
            <v>集团占比</v>
          </cell>
          <cell r="I102" t="str">
            <v>期末权益(万元）</v>
          </cell>
        </row>
        <row r="103">
          <cell r="A103" t="str">
            <v>2503W1</v>
          </cell>
          <cell r="B103">
            <v>4.581553899871</v>
          </cell>
          <cell r="C103">
            <v>2.094728391731</v>
          </cell>
          <cell r="D103">
            <v>1.34453600578</v>
          </cell>
          <cell r="E103">
            <v>1.14228950236</v>
          </cell>
          <cell r="F103">
            <v>1.07940530482</v>
          </cell>
          <cell r="G103">
            <v>0</v>
          </cell>
          <cell r="H103">
            <v>0</v>
          </cell>
          <cell r="I103">
            <v>4.508819307991</v>
          </cell>
          <cell r="J103">
            <v>0</v>
          </cell>
          <cell r="K103">
            <v>0</v>
          </cell>
        </row>
        <row r="104">
          <cell r="A104" t="str">
            <v>2503W2</v>
          </cell>
          <cell r="B104">
            <v>4.613860188311</v>
          </cell>
          <cell r="C104">
            <v>2.118741410031</v>
          </cell>
          <cell r="D104">
            <v>1.27100236076</v>
          </cell>
          <cell r="E104">
            <v>1.22411641752</v>
          </cell>
          <cell r="F104">
            <v>1.15952797156</v>
          </cell>
          <cell r="G104">
            <v>0</v>
          </cell>
          <cell r="H104">
            <v>0</v>
          </cell>
          <cell r="I104">
            <v>4.611115262991</v>
          </cell>
          <cell r="J104">
            <v>0</v>
          </cell>
          <cell r="K104">
            <v>0</v>
          </cell>
        </row>
        <row r="105">
          <cell r="A105" t="str">
            <v>2503W3</v>
          </cell>
          <cell r="B105">
            <v>4.919194067011</v>
          </cell>
          <cell r="C105">
            <v>2.218341529271</v>
          </cell>
          <cell r="D105">
            <v>1.15924149548</v>
          </cell>
          <cell r="E105">
            <v>1.54161104226</v>
          </cell>
          <cell r="F105">
            <v>1.47580794036</v>
          </cell>
          <cell r="G105">
            <v>0</v>
          </cell>
          <cell r="H105">
            <v>0</v>
          </cell>
          <cell r="I105">
            <v>5.085245289791</v>
          </cell>
          <cell r="J105">
            <v>0</v>
          </cell>
          <cell r="K105">
            <v>0</v>
          </cell>
        </row>
        <row r="106">
          <cell r="A106" t="str">
            <v>2503W4</v>
          </cell>
          <cell r="B106">
            <v>5.216906785071</v>
          </cell>
          <cell r="C106">
            <v>2.237726378611</v>
          </cell>
          <cell r="D106">
            <v>1.30359247702</v>
          </cell>
          <cell r="E106">
            <v>1.67558792944</v>
          </cell>
          <cell r="F106">
            <v>1.6209789647</v>
          </cell>
          <cell r="G106">
            <v>0</v>
          </cell>
          <cell r="H106">
            <v>0</v>
          </cell>
          <cell r="I106">
            <v>5.172695139091</v>
          </cell>
          <cell r="J106">
            <v>0</v>
          </cell>
          <cell r="K106">
            <v>0</v>
          </cell>
        </row>
        <row r="107">
          <cell r="A107" t="str">
            <v>2504W1</v>
          </cell>
          <cell r="B107">
            <v>4.737853992166</v>
          </cell>
          <cell r="C107">
            <v>2.227029749716</v>
          </cell>
          <cell r="D107">
            <v>1.2915253485</v>
          </cell>
          <cell r="E107">
            <v>1.21929889395</v>
          </cell>
          <cell r="F107">
            <v>1.164839772625</v>
          </cell>
          <cell r="G107">
            <v>0</v>
          </cell>
          <cell r="H107">
            <v>0</v>
          </cell>
          <cell r="I107">
            <v>4.913785016091</v>
          </cell>
          <cell r="J107">
            <v>0</v>
          </cell>
          <cell r="K107">
            <v>0</v>
          </cell>
        </row>
        <row r="108">
          <cell r="A108" t="str">
            <v>2504W2</v>
          </cell>
          <cell r="B108">
            <v>5.032359685651</v>
          </cell>
          <cell r="C108">
            <v>2.342090085251</v>
          </cell>
          <cell r="D108">
            <v>1.20115701362</v>
          </cell>
          <cell r="E108">
            <v>1.48911258678</v>
          </cell>
          <cell r="F108">
            <v>1.43417301848</v>
          </cell>
          <cell r="G108">
            <v>0</v>
          </cell>
          <cell r="H108">
            <v>0</v>
          </cell>
          <cell r="I108">
            <v>5.052335911591</v>
          </cell>
          <cell r="J108">
            <v>0</v>
          </cell>
          <cell r="K108">
            <v>0</v>
          </cell>
        </row>
        <row r="109">
          <cell r="A109" t="str">
            <v>2504W3</v>
          </cell>
          <cell r="B109">
            <v>4.974945193811</v>
          </cell>
          <cell r="C109">
            <v>2.276839164751</v>
          </cell>
          <cell r="D109">
            <v>1.26439951906</v>
          </cell>
          <cell r="E109">
            <v>1.43370651</v>
          </cell>
          <cell r="F109">
            <v>1.3794533934</v>
          </cell>
          <cell r="G109">
            <v>0</v>
          </cell>
          <cell r="H109">
            <v>0</v>
          </cell>
          <cell r="I109">
            <v>4.778606397291</v>
          </cell>
          <cell r="J109">
            <v>0</v>
          </cell>
          <cell r="K109">
            <v>0</v>
          </cell>
        </row>
        <row r="110">
          <cell r="A110" t="str">
            <v>2504W4</v>
          </cell>
          <cell r="B110">
            <v>5.186335944511</v>
          </cell>
          <cell r="C110">
            <v>2.227871365951</v>
          </cell>
          <cell r="D110">
            <v>1.31334059836</v>
          </cell>
          <cell r="E110">
            <v>1.6451239802</v>
          </cell>
          <cell r="F110">
            <v>1.59509606284</v>
          </cell>
          <cell r="G110">
            <v>0</v>
          </cell>
          <cell r="H110">
            <v>0</v>
          </cell>
          <cell r="I110">
            <v>6.551081241391</v>
          </cell>
          <cell r="J110">
            <v>0</v>
          </cell>
          <cell r="K110">
            <v>0</v>
          </cell>
        </row>
        <row r="111">
          <cell r="A111" t="str">
            <v>2505W1</v>
          </cell>
          <cell r="B111">
            <v>6.405164517691</v>
          </cell>
          <cell r="C111">
            <v>2.209728228158</v>
          </cell>
          <cell r="D111">
            <v>1.287222283933</v>
          </cell>
          <cell r="E111">
            <v>2.9082140056</v>
          </cell>
          <cell r="F111">
            <v>2.8638968552</v>
          </cell>
          <cell r="G111">
            <v>0</v>
          </cell>
          <cell r="H111">
            <v>0</v>
          </cell>
          <cell r="I111">
            <v>4.982368241691</v>
          </cell>
          <cell r="J111">
            <v>0</v>
          </cell>
          <cell r="K111">
            <v>0</v>
          </cell>
        </row>
        <row r="112">
          <cell r="A112" t="str">
            <v>2505W2</v>
          </cell>
          <cell r="B112">
            <v>5.264558031866</v>
          </cell>
          <cell r="C112">
            <v>2.297753315991</v>
          </cell>
          <cell r="D112">
            <v>1.368937665875</v>
          </cell>
          <cell r="E112">
            <v>1.59786705</v>
          </cell>
          <cell r="F112">
            <v>1.552409370525</v>
          </cell>
          <cell r="G112">
            <v>0</v>
          </cell>
          <cell r="H112">
            <v>0</v>
          </cell>
          <cell r="I112">
            <v>5.914563871191</v>
          </cell>
          <cell r="J112">
            <v>0</v>
          </cell>
          <cell r="K112">
            <v>0</v>
          </cell>
        </row>
        <row r="113">
          <cell r="A113" t="str">
            <v>2505W3</v>
          </cell>
          <cell r="B113">
            <v>5.646427200371</v>
          </cell>
          <cell r="C113">
            <v>2.342573256751</v>
          </cell>
          <cell r="D113">
            <v>1.40487758314</v>
          </cell>
          <cell r="E113">
            <v>1.89897636048</v>
          </cell>
          <cell r="F113">
            <v>1.85134133402</v>
          </cell>
          <cell r="G113">
            <v>0</v>
          </cell>
          <cell r="H113">
            <v>0</v>
          </cell>
          <cell r="I113">
            <v>5.387549344791</v>
          </cell>
          <cell r="J113">
            <v>0</v>
          </cell>
          <cell r="K113">
            <v>0</v>
          </cell>
        </row>
        <row r="114">
          <cell r="A114" t="str">
            <v>2505W4</v>
          </cell>
          <cell r="B114">
            <v>5.303404771351</v>
          </cell>
          <cell r="C114">
            <v>2.351533239471</v>
          </cell>
          <cell r="D114">
            <v>1.51546012898</v>
          </cell>
          <cell r="E114">
            <v>1.4364114029</v>
          </cell>
          <cell r="F114">
            <v>1.39305622064</v>
          </cell>
          <cell r="G114">
            <v>0</v>
          </cell>
          <cell r="H114">
            <v>0</v>
          </cell>
          <cell r="I114">
            <v>5.311863177691</v>
          </cell>
          <cell r="J114">
            <v>0</v>
          </cell>
          <cell r="K114">
            <v>0</v>
          </cell>
        </row>
        <row r="115">
          <cell r="A115" t="str">
            <v>2505W5</v>
          </cell>
          <cell r="B115">
            <v>5.308332875791</v>
          </cell>
          <cell r="C115">
            <v>2.340432256831</v>
          </cell>
          <cell r="D115">
            <v>1.49458323112</v>
          </cell>
          <cell r="E115">
            <v>1.47331738784</v>
          </cell>
          <cell r="F115">
            <v>1.44400757242</v>
          </cell>
          <cell r="G115">
            <v>0</v>
          </cell>
          <cell r="H115">
            <v>0</v>
          </cell>
          <cell r="I115">
            <v>4.924883389491</v>
          </cell>
          <cell r="J115">
            <v>0</v>
          </cell>
          <cell r="K115">
            <v>0</v>
          </cell>
        </row>
        <row r="116">
          <cell r="A116" t="str">
            <v>2506W1</v>
          </cell>
          <cell r="B116">
            <v>4.827697199341</v>
          </cell>
          <cell r="C116">
            <v>2.094338129066</v>
          </cell>
          <cell r="D116">
            <v>1.59169884455</v>
          </cell>
          <cell r="E116">
            <v>1.141660225725</v>
          </cell>
          <cell r="F116">
            <v>1.111480058325</v>
          </cell>
          <cell r="G116">
            <v>0</v>
          </cell>
          <cell r="H116">
            <v>0</v>
          </cell>
          <cell r="I116">
            <v>4.830185122791</v>
          </cell>
          <cell r="J116">
            <v>0</v>
          </cell>
          <cell r="K116">
            <v>0</v>
          </cell>
        </row>
        <row r="117">
          <cell r="A117" t="str">
            <v>2506W2</v>
          </cell>
          <cell r="B117">
            <v>4.859431659091</v>
          </cell>
          <cell r="C117">
            <v>2.070127741551</v>
          </cell>
          <cell r="D117">
            <v>1.49550016656</v>
          </cell>
          <cell r="E117">
            <v>1.29380375098</v>
          </cell>
          <cell r="F117">
            <v>1.26321407116</v>
          </cell>
          <cell r="G117">
            <v>0</v>
          </cell>
          <cell r="H117">
            <v>0</v>
          </cell>
          <cell r="I117">
            <v>5.057419974991</v>
          </cell>
          <cell r="J117">
            <v>0</v>
          </cell>
          <cell r="K117">
            <v>0</v>
          </cell>
        </row>
        <row r="118">
          <cell r="A118" t="str">
            <v>2506W3</v>
          </cell>
          <cell r="B118">
            <v>4.853934604211</v>
          </cell>
          <cell r="C118">
            <v>2.084218755171</v>
          </cell>
          <cell r="D118">
            <v>1.48705975734</v>
          </cell>
          <cell r="E118">
            <v>1.2826560917</v>
          </cell>
          <cell r="F118">
            <v>1.25199097094</v>
          </cell>
          <cell r="G118">
            <v>0</v>
          </cell>
          <cell r="H118">
            <v>0</v>
          </cell>
          <cell r="I118">
            <v>4.909166531491</v>
          </cell>
          <cell r="J118">
            <v>0</v>
          </cell>
          <cell r="K118">
            <v>0</v>
          </cell>
        </row>
        <row r="119">
          <cell r="A119" t="str">
            <v>2506W4</v>
          </cell>
          <cell r="B119">
            <v>4.852718502371</v>
          </cell>
          <cell r="C119">
            <v>2.056278858431</v>
          </cell>
          <cell r="D119">
            <v>1.51776932594</v>
          </cell>
          <cell r="E119">
            <v>1.278670318</v>
          </cell>
          <cell r="F119">
            <v>1.24808132798</v>
          </cell>
          <cell r="G119">
            <v>0</v>
          </cell>
          <cell r="H119">
            <v>0</v>
          </cell>
          <cell r="I119">
            <v>4.889277188291</v>
          </cell>
          <cell r="J119">
            <v>0</v>
          </cell>
          <cell r="K119">
            <v>0</v>
          </cell>
        </row>
        <row r="120">
          <cell r="A120" t="str">
            <v>2507W1</v>
          </cell>
          <cell r="B120">
            <v>4.508602281631</v>
          </cell>
          <cell r="C120">
            <v>2.007278088171</v>
          </cell>
          <cell r="D120">
            <v>1.52946244812</v>
          </cell>
          <cell r="E120">
            <v>0.97186174534</v>
          </cell>
          <cell r="F120">
            <v>0.93994833844</v>
          </cell>
          <cell r="G120">
            <v>0</v>
          </cell>
          <cell r="H120">
            <v>0</v>
          </cell>
          <cell r="I120">
            <v>4.523944454491</v>
          </cell>
          <cell r="J120">
            <v>0</v>
          </cell>
          <cell r="K120">
            <v>0</v>
          </cell>
        </row>
        <row r="121">
          <cell r="A121" t="str">
            <v>2507W2</v>
          </cell>
          <cell r="B121">
            <v>4.458581024211</v>
          </cell>
          <cell r="C121">
            <v>1.954553533031</v>
          </cell>
          <cell r="D121">
            <v>1.5190207929</v>
          </cell>
          <cell r="E121">
            <v>0.98500669828</v>
          </cell>
          <cell r="F121">
            <v>0.9521666425</v>
          </cell>
          <cell r="G121">
            <v>0</v>
          </cell>
          <cell r="H121">
            <v>0</v>
          </cell>
          <cell r="I121">
            <v>4.560594817891</v>
          </cell>
          <cell r="J121">
            <v>0</v>
          </cell>
          <cell r="K121">
            <v>0</v>
          </cell>
        </row>
        <row r="122">
          <cell r="A122" t="str">
            <v>2507W3</v>
          </cell>
          <cell r="B122">
            <v>4.542634450391</v>
          </cell>
          <cell r="C122">
            <v>1.959901242791</v>
          </cell>
          <cell r="D122">
            <v>1.50891208888</v>
          </cell>
          <cell r="E122">
            <v>1.07382111872</v>
          </cell>
          <cell r="F122">
            <v>1.04157789518</v>
          </cell>
          <cell r="G122">
            <v>0</v>
          </cell>
          <cell r="H122">
            <v>0</v>
          </cell>
          <cell r="I122">
            <v>4.692957551291</v>
          </cell>
          <cell r="J122">
            <v>0</v>
          </cell>
          <cell r="K122">
            <v>0</v>
          </cell>
        </row>
        <row r="123">
          <cell r="A123" t="str">
            <v>2507W4</v>
          </cell>
          <cell r="B123">
            <v>4.737539283091</v>
          </cell>
          <cell r="C123">
            <v>1.979339636531</v>
          </cell>
          <cell r="D123">
            <v>1.66572974436</v>
          </cell>
          <cell r="E123">
            <v>1.0924699022</v>
          </cell>
          <cell r="F123">
            <v>1.06304118404</v>
          </cell>
          <cell r="G123">
            <v>0</v>
          </cell>
          <cell r="H123">
            <v>0</v>
          </cell>
          <cell r="I123">
            <v>4.850525449491</v>
          </cell>
          <cell r="J123">
            <v>0</v>
          </cell>
          <cell r="K123">
            <v>0</v>
          </cell>
        </row>
        <row r="124">
          <cell r="A124" t="str">
            <v>2508W1</v>
          </cell>
          <cell r="B124">
            <v>4.720205321631</v>
          </cell>
          <cell r="C124">
            <v>1.943078108631</v>
          </cell>
          <cell r="D124">
            <v>1.59550139446</v>
          </cell>
          <cell r="E124">
            <v>1.18162581854</v>
          </cell>
          <cell r="F124">
            <v>1.1504096856</v>
          </cell>
          <cell r="G124">
            <v>0</v>
          </cell>
          <cell r="H124">
            <v>0</v>
          </cell>
          <cell r="I124">
            <v>4.593739927991</v>
          </cell>
          <cell r="J124">
            <v>0</v>
          </cell>
          <cell r="K124">
            <v>0</v>
          </cell>
        </row>
        <row r="125">
          <cell r="A125" t="str">
            <v>2508W2</v>
          </cell>
          <cell r="B125">
            <v>4.782672672831</v>
          </cell>
          <cell r="C125">
            <v>1.873207754971</v>
          </cell>
          <cell r="D125">
            <v>1.63275242126</v>
          </cell>
          <cell r="E125">
            <v>1.2767124966</v>
          </cell>
          <cell r="F125">
            <v>1.246251087</v>
          </cell>
          <cell r="G125">
            <v>0</v>
          </cell>
          <cell r="H125">
            <v>0</v>
          </cell>
          <cell r="I125">
            <v>4.648295378791</v>
          </cell>
          <cell r="J125">
            <v>0</v>
          </cell>
          <cell r="K125">
            <v>0</v>
          </cell>
        </row>
        <row r="126">
          <cell r="A126" t="str">
            <v>2508W3</v>
          </cell>
          <cell r="B126">
            <v>4.772839505171</v>
          </cell>
          <cell r="C126">
            <v>1.839438316491</v>
          </cell>
          <cell r="D126">
            <v>1.39399956942</v>
          </cell>
          <cell r="E126">
            <v>1.53940161926</v>
          </cell>
          <cell r="F126">
            <v>1.51112038462</v>
          </cell>
          <cell r="G126">
            <v>0</v>
          </cell>
          <cell r="H126">
            <v>0</v>
          </cell>
          <cell r="I126">
            <v>4.515487158091</v>
          </cell>
          <cell r="J126">
            <v>0</v>
          </cell>
          <cell r="K126">
            <v>0</v>
          </cell>
        </row>
        <row r="127">
          <cell r="A127" t="str">
            <v>2508W4</v>
          </cell>
          <cell r="B127">
            <v>4.683067623611</v>
          </cell>
          <cell r="C127">
            <v>1.810292222831</v>
          </cell>
          <cell r="D127">
            <v>1.32428469832</v>
          </cell>
          <cell r="E127">
            <v>1.54849070246</v>
          </cell>
          <cell r="F127">
            <v>1.52372590696</v>
          </cell>
          <cell r="G127">
            <v>0</v>
          </cell>
          <cell r="H127">
            <v>0</v>
          </cell>
          <cell r="I127">
            <v>4.324496951891</v>
          </cell>
          <cell r="J127">
            <v>0</v>
          </cell>
          <cell r="K127">
            <v>0</v>
          </cell>
        </row>
        <row r="128">
          <cell r="A128" t="str">
            <v>2508W5</v>
          </cell>
          <cell r="B128">
            <v>4.289520061371</v>
          </cell>
          <cell r="C128">
            <v>1.793227835631</v>
          </cell>
          <cell r="D128">
            <v>1.28985823424</v>
          </cell>
          <cell r="E128">
            <v>1.2064339915</v>
          </cell>
          <cell r="F128">
            <v>1.18409036192</v>
          </cell>
          <cell r="G128">
            <v>0</v>
          </cell>
          <cell r="H128">
            <v>0</v>
          </cell>
          <cell r="I128">
            <v>3.902073281891</v>
          </cell>
          <cell r="J128">
            <v>0</v>
          </cell>
          <cell r="K128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1150;&#20844;\&#24635;&#32467;&#27719;&#25253;\&#21608;&#25253;\20250829\&#21608;&#25253;&#34920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8" minRefreshableVersion="3" refreshedDate="45900.9806896991" refreshedBy="grey" recordCount="84">
  <cacheSource type="worksheet">
    <worksheetSource name="表1" r:id="rId2"/>
  </cacheSource>
  <cacheFields count="26">
    <cacheField name="月份" numFmtId="0">
      <sharedItems count="84">
        <s v="2401W1"/>
        <s v="2401W2"/>
        <s v="2401W3"/>
        <s v="2401W4"/>
        <s v="2402W1"/>
        <s v="2402W2"/>
        <s v="2402W4"/>
        <s v="2403W1"/>
        <s v="2403W2"/>
        <s v="2403W3"/>
        <s v="2403W4"/>
        <s v="2403W5"/>
        <s v="2404W1"/>
        <s v="2404W2"/>
        <s v="2404W3"/>
        <s v="2404W4"/>
        <s v="2405W1"/>
        <s v="2405W2"/>
        <s v="2405W3"/>
        <s v="2405W4"/>
        <s v="2405W5"/>
        <s v="2406W1"/>
        <s v="2406W2"/>
        <s v="2406W3"/>
        <s v="2406W4"/>
        <s v="2407W1"/>
        <s v="2407W2"/>
        <s v="2407W3"/>
        <s v="2407W4"/>
        <s v="2408W1"/>
        <s v="2408W2"/>
        <s v="2408W3"/>
        <s v="2408W4"/>
        <s v="2408W5"/>
        <s v="2409W1"/>
        <s v="2409W2"/>
        <s v="2409W3"/>
        <s v="2409W4"/>
        <s v="2410W2"/>
        <s v="2410W3"/>
        <s v="2410W4"/>
        <s v="2411W1"/>
        <s v="2411W2"/>
        <s v="2411W3"/>
        <s v="2411W4"/>
        <s v="2411W5"/>
        <s v="2412W1"/>
        <s v="2412W2"/>
        <s v="2412W3"/>
        <s v="2412W4"/>
        <s v="2501W1"/>
        <s v="2501W2"/>
        <s v="2501W3"/>
        <s v="2501W4"/>
        <s v="2502W1"/>
        <s v="2502W2"/>
        <s v="2502W3"/>
        <s v="2502W4"/>
        <s v="2503W1"/>
        <s v="2503W2"/>
        <s v="2503W3"/>
        <s v="2503W4"/>
        <s v="2504W1"/>
        <s v="2504W2"/>
        <s v="2504W3"/>
        <s v="2504W4"/>
        <s v="2505W1"/>
        <s v="2505W2"/>
        <s v="2505W3"/>
        <s v="2505W4"/>
        <s v="2505W5"/>
        <s v="2506W1"/>
        <s v="2506W2"/>
        <s v="2506W3"/>
        <s v="2506W4"/>
        <s v="2507W1"/>
        <s v="2507W2"/>
        <s v="2507W3"/>
        <s v="2507W4"/>
        <s v="2508W1"/>
        <s v="2508W2"/>
        <s v="2508W3"/>
        <s v="2508W4"/>
        <s v="2508W5"/>
      </sharedItems>
    </cacheField>
    <cacheField name="全部" numFmtId="43"/>
    <cacheField name="特殊法人" numFmtId="43"/>
    <cacheField name="自然人" numFmtId="43"/>
    <cacheField name="法人" numFmtId="43"/>
    <cacheField name="集团客户" numFmtId="43"/>
    <cacheField name="非集团客户" numFmtId="43"/>
    <cacheField name="集团占比" numFmtId="9"/>
    <cacheField name="期末权益(万元）" numFmtId="43"/>
    <cacheField name="权益变动(万元）" numFmtId="43"/>
    <cacheField name="环比" numFmtId="176"/>
    <cacheField name="净入金（万元）" numFmtId="1"/>
    <cacheField name="盈亏（万元）" numFmtId="1"/>
    <cacheField name="日均持仓量（万手）" numFmtId="2"/>
    <cacheField name="成交数量（万手）" numFmtId="2"/>
    <cacheField name="日均成交量（万手）" numFmtId="2"/>
    <cacheField name="成交持仓比" numFmtId="9"/>
    <cacheField name="交易日" numFmtId="0"/>
    <cacheField name="开户数" numFmtId="0"/>
    <cacheField name="客户总数" numFmtId="1"/>
    <cacheField name="交易客户数" numFmtId="0"/>
    <cacheField name="销户数" numFmtId="0"/>
    <cacheField name="手续费（万元）" numFmtId="178"/>
    <cacheField name="留存手续费（万元）" numFmtId="178"/>
    <cacheField name="辅助列1" numFmtId="0"/>
    <cacheField name="辅助列2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x v="0"/>
    <n v="1.9669804881499999"/>
    <n v="8.4172725650000002E-2"/>
    <n v="0.57506993044999999"/>
    <n v="1.3077378320499999"/>
    <n v="1.1654500962750001"/>
    <n v="0.80153039187499986"/>
    <n v="0.59250719734954693"/>
    <n v="1.9486007488999999"/>
    <n v="-0.74804232189999997"/>
    <n v="-0.31842449671610401"/>
    <n v="919.18794800000001"/>
    <n v="-734.2885"/>
    <n v="1.018675"/>
    <n v="1.9716"/>
    <n v="0.4929"/>
    <n v="0.48386384273688859"/>
    <n v="4"/>
    <n v="25"/>
    <n v="1881"/>
    <n v="118"/>
    <n v="0"/>
    <n v="28.144414999999999"/>
    <n v="7.0973819999999996"/>
    <n v="20000"/>
    <n v="0"/>
  </r>
  <r>
    <x v="1"/>
    <n v="2.52721229012"/>
    <n v="0.11630271684"/>
    <n v="0.52910688518000004"/>
    <n v="1.8818026881000001"/>
    <n v="1.73951326992"/>
    <n v="0.78769902020000004"/>
    <n v="0.6883130779003146"/>
    <n v="1.9607585138000001"/>
    <n v="1.2157764900000201E-2"/>
    <n v="6.2392282805307101E-3"/>
    <n v="-1034.0371339999999"/>
    <n v="1030.742"/>
    <n v="1.4813799999999999"/>
    <n v="3.9447000000000001"/>
    <n v="0.78893999999999997"/>
    <n v="0.53257098111220624"/>
    <n v="5"/>
    <n v="28"/>
    <n v="1909"/>
    <n v="127"/>
    <n v="0"/>
    <n v="50.102217000000003"/>
    <n v="9.1360759999999992"/>
    <n v="20000"/>
    <n v="0"/>
  </r>
  <r>
    <x v="2"/>
    <n v="1.9980174493"/>
    <n v="0.11986177326"/>
    <n v="0.55672959263999999"/>
    <n v="1.3214260834"/>
    <n v="1.1747290698599999"/>
    <n v="0.82328837944000011"/>
    <n v="0.58794735264777742"/>
    <n v="2.1169210922000001"/>
    <n v="0.15616257840000003"/>
    <n v="7.964396293623785E-2"/>
    <n v="2390.4426760000001"/>
    <n v="-726.60990000000004"/>
    <n v="1.92398"/>
    <n v="4.3071999999999999"/>
    <n v="0.86143999999999998"/>
    <n v="0.44773854198068586"/>
    <n v="5"/>
    <n v="18"/>
    <n v="1927"/>
    <n v="138"/>
    <n v="0"/>
    <n v="62.494992000000003"/>
    <n v="10.242538"/>
    <n v="20000"/>
    <n v="0"/>
  </r>
  <r>
    <x v="3"/>
    <n v="2.5974169163399998"/>
    <n v="0.10197174764"/>
    <n v="0.55925608388000003"/>
    <n v="1.9361890848200001"/>
    <n v="1.78307958644"/>
    <n v="0.81433732989999985"/>
    <n v="0.68648185634846937"/>
    <n v="3.6498019625000002"/>
    <n v="1.5328808703000001"/>
    <n v="0.72410864814378173"/>
    <n v="15792.660508999999"/>
    <n v="-362.04849999999999"/>
    <n v="2.58344"/>
    <n v="4.4527000000000001"/>
    <n v="0.89054"/>
    <n v="0.34471092806490572"/>
    <n v="5"/>
    <n v="20"/>
    <n v="1947"/>
    <n v="137"/>
    <n v="0"/>
    <n v="74.903706"/>
    <n v="9.9259070000000005"/>
    <n v="20000"/>
    <n v="0"/>
  </r>
  <r>
    <x v="4"/>
    <n v="2.9387115338599998"/>
    <n v="0.1024231235"/>
    <n v="0.55923935706000005"/>
    <n v="2.2770490532999998"/>
    <n v="2.1238451509399998"/>
    <n v="0.81486638292000002"/>
    <n v="0.72271304157244987"/>
    <n v="2.8533230157"/>
    <n v="-0.7964789468000002"/>
    <n v="-0.21822525029671391"/>
    <n v="-9101.8490390000006"/>
    <n v="1192.5105000000001"/>
    <n v="2.57416"/>
    <n v="3.8439000000000001"/>
    <n v="0.76878000000000002"/>
    <n v="0.2986527643969295"/>
    <n v="5"/>
    <n v="8"/>
    <n v="1955"/>
    <n v="133"/>
    <n v="0"/>
    <n v="71.026928999999996"/>
    <n v="8.3260939999999994"/>
    <n v="20000"/>
    <n v="0"/>
  </r>
  <r>
    <x v="5"/>
    <n v="2.8800696015249998"/>
    <n v="0.10294317705"/>
    <n v="0.56912991027500004"/>
    <n v="2.2079965142"/>
    <n v="2.0547028257000002"/>
    <n v="0.82536677582499962"/>
    <n v="0.7134212397547729"/>
    <n v="2.9798684124000001"/>
    <n v="0.12654539670000009"/>
    <n v="4.4350182577893291E-2"/>
    <n v="1532.9557110000001"/>
    <n v="-178.25299999999999"/>
    <n v="2.723125"/>
    <n v="2.5817999999999999"/>
    <n v="0.64544999999999997"/>
    <n v="0.23702547624512277"/>
    <n v="4"/>
    <n v="3"/>
    <n v="1957"/>
    <n v="116"/>
    <n v="1"/>
    <n v="74.744743999999997"/>
    <n v="3.384998"/>
    <n v="20000"/>
    <n v="0"/>
  </r>
  <r>
    <x v="6"/>
    <n v="2.76226887794"/>
    <n v="9.8345621359999996E-2"/>
    <n v="0.63437940124000003"/>
    <n v="2.02954385534"/>
    <n v="1.87838300384"/>
    <n v="0.88388587409999997"/>
    <n v="0.68001454124944927"/>
    <n v="2.6330293345000002"/>
    <n v="-0.3468390778999999"/>
    <n v="-0.11639409191919789"/>
    <n v="-3514.8710700000001"/>
    <n v="23.9924"/>
    <n v="2.8788999999999998"/>
    <n v="3.5827"/>
    <n v="0.71653999999999995"/>
    <n v="0.24889367466740769"/>
    <n v="5"/>
    <n v="9"/>
    <n v="1966"/>
    <n v="126"/>
    <n v="0"/>
    <n v="41.986108999999999"/>
    <n v="5.5150459999999999"/>
    <n v="20000"/>
    <n v="0"/>
  </r>
  <r>
    <x v="7"/>
    <n v="2.9508831824800001"/>
    <n v="9.8897567140000003E-2"/>
    <n v="0.63459445705999995"/>
    <n v="2.2173911582799999"/>
    <n v="2.0744396643199998"/>
    <n v="0.87644351816000032"/>
    <n v="0.70298942250115981"/>
    <n v="2.7280140291000001"/>
    <n v="9.4984694599999919E-2"/>
    <n v="3.6074301700872266E-2"/>
    <n v="-970.64464399999702"/>
    <n v="1869.7075"/>
    <n v="2.39316"/>
    <n v="4.0746000000000002"/>
    <n v="0.81491999999999998"/>
    <n v="0.34052048337762625"/>
    <n v="5"/>
    <n v="15"/>
    <n v="1981"/>
    <n v="134"/>
    <n v="0"/>
    <n v="62.304409999999997"/>
    <n v="6.3925090000000004"/>
    <n v="20000"/>
    <n v="0"/>
  </r>
  <r>
    <x v="8"/>
    <n v="2.7317646690599999"/>
    <n v="9.9022137920000003E-2"/>
    <n v="0.66054610231999999"/>
    <n v="1.97219642882"/>
    <n v="1.8292062006000001"/>
    <n v="0.90255846845999987"/>
    <n v="0.66960606867700279"/>
    <n v="2.7363295923000002"/>
    <n v="8.3155632000000423E-3"/>
    <n v="3.0482113036432706E-3"/>
    <n v="-262.757587"/>
    <n v="388.87549999999999"/>
    <n v="2.3235000000000001"/>
    <n v="6.2168000000000001"/>
    <n v="1.24336"/>
    <n v="0.53512373574349037"/>
    <n v="5"/>
    <n v="25"/>
    <n v="2006"/>
    <n v="153"/>
    <n v="0"/>
    <n v="55.113781000000003"/>
    <n v="10.837274000000001"/>
    <n v="20000"/>
    <n v="0"/>
  </r>
  <r>
    <x v="9"/>
    <n v="2.8451896928"/>
    <n v="9.8891881139999999E-2"/>
    <n v="0.695617386"/>
    <n v="2.05068042566"/>
    <n v="1.90751809816"/>
    <n v="0.93767159464000005"/>
    <n v="0.67043617618436491"/>
    <n v="2.8395481093999999"/>
    <n v="0.10321851709999974"/>
    <n v="3.7721522067537282E-2"/>
    <n v="1162.734555"/>
    <n v="-51.819000000000003"/>
    <n v="2.629"/>
    <n v="6.6734999999999998"/>
    <n v="1.3347"/>
    <n v="0.50768352985926213"/>
    <n v="5"/>
    <n v="28"/>
    <n v="2034"/>
    <n v="161"/>
    <n v="0"/>
    <n v="58.527633999999999"/>
    <n v="17.192052"/>
    <n v="20000"/>
    <n v="0"/>
  </r>
  <r>
    <x v="10"/>
    <n v="2.82299141826"/>
    <n v="9.9285048360000003E-2"/>
    <n v="0.69867507153999997"/>
    <n v="2.0250312983600001"/>
    <n v="1.8817128856600001"/>
    <n v="0.94127853259999994"/>
    <n v="0.66656698758929511"/>
    <n v="2.6990949390000001"/>
    <n v="-0.14045317039999983"/>
    <n v="-4.9463212098800384E-2"/>
    <n v="-3077.687696"/>
    <n v="1596.3985"/>
    <n v="2.7182400000000002"/>
    <n v="11.8292"/>
    <n v="2.3658399999999999"/>
    <n v="0.87035729001118367"/>
    <n v="5"/>
    <n v="26"/>
    <n v="2060"/>
    <n v="171"/>
    <n v="0"/>
    <n v="77.442008000000001"/>
    <n v="19.349449"/>
    <n v="20000"/>
    <n v="0"/>
  </r>
  <r>
    <x v="11"/>
    <n v="2.5764270594999998"/>
    <n v="9.974420296E-2"/>
    <n v="0.61436688888000002"/>
    <n v="1.8623159676600001"/>
    <n v="1.7186125047"/>
    <n v="0.8578145547999998"/>
    <n v="0.66705265276693937"/>
    <n v="2.3240291774999999"/>
    <n v="-0.37506576150000015"/>
    <n v="-0.13895982541427757"/>
    <n v="-2644.3332799999998"/>
    <n v="-1121.9224999999999"/>
    <n v="2.63714"/>
    <n v="7.1064999999999996"/>
    <n v="1.4213"/>
    <n v="0.53895508012468052"/>
    <n v="5"/>
    <n v="26"/>
    <n v="2086"/>
    <n v="188"/>
    <n v="0"/>
    <n v="71.228335000000001"/>
    <n v="14.64372"/>
    <n v="20000"/>
    <n v="0"/>
  </r>
  <r>
    <x v="12"/>
    <n v="2.4848113920666699"/>
    <n v="9.9233086366666695E-2"/>
    <n v="0.57212244833333303"/>
    <n v="1.8134558573666699"/>
    <n v="1.66969350643333"/>
    <n v="0.81511788563333987"/>
    <n v="0.67195985649623524"/>
    <n v="2.6772484968999999"/>
    <n v="0.35321931939999995"/>
    <n v="0.15198575078991233"/>
    <n v="3633.680198"/>
    <n v="-90.433999999999997"/>
    <n v="2.9876999999999998"/>
    <n v="2.5825"/>
    <n v="0.86083333333333301"/>
    <n v="0.28812576006069318"/>
    <n v="3"/>
    <n v="12"/>
    <n v="2097"/>
    <n v="185"/>
    <n v="1"/>
    <n v="20.877003999999999"/>
    <n v="8.5219830000000005"/>
    <n v="20000"/>
    <n v="0"/>
  </r>
  <r>
    <x v="13"/>
    <n v="2.4515773532799998"/>
    <n v="0.15859440456000001"/>
    <n v="0.61871416185999994"/>
    <n v="1.6742687868599999"/>
    <n v="1.53020735612"/>
    <n v="0.92136999715999979"/>
    <n v="0.62417257773764068"/>
    <n v="2.3579410530999998"/>
    <n v="-0.31930744380000009"/>
    <n v="-0.11926701767494793"/>
    <n v="-4409.5204960000001"/>
    <n v="1239.6855"/>
    <n v="2.7529599999999999"/>
    <n v="3.8689"/>
    <n v="0.77378000000000002"/>
    <n v="0.28107200976403585"/>
    <n v="5"/>
    <n v="28"/>
    <n v="2124"/>
    <n v="201"/>
    <n v="1"/>
    <n v="46.227442000000003"/>
    <n v="16.506916"/>
    <n v="20000"/>
    <n v="0"/>
  </r>
  <r>
    <x v="14"/>
    <n v="2.3943049849800002"/>
    <n v="0.16184661208000001"/>
    <n v="0.65475470899999999"/>
    <n v="1.5777036638999999"/>
    <n v="1.4334549195999999"/>
    <n v="0.96085006538000028"/>
    <n v="0.59869353678515336"/>
    <n v="2.3433926456999998"/>
    <n v="-1.4548407399999963E-2"/>
    <n v="-6.1699622986219615E-3"/>
    <n v="216.445764"/>
    <n v="-379.89100000000002"/>
    <n v="2.37832"/>
    <n v="6.5907999999999998"/>
    <n v="1.31816"/>
    <n v="0.55423996770829831"/>
    <n v="5"/>
    <n v="71"/>
    <n v="2195"/>
    <n v="238"/>
    <n v="0"/>
    <n v="53.258088000000001"/>
    <n v="19.446565"/>
    <n v="20000"/>
    <n v="0"/>
  </r>
  <r>
    <x v="15"/>
    <n v="2.4783276875400002"/>
    <n v="0.21475074635999999"/>
    <n v="0.73119443492000002"/>
    <n v="1.5323825062600001"/>
    <n v="1.38176668382"/>
    <n v="1.0965610037200002"/>
    <n v="0.55753994549104524"/>
    <n v="2.4390759120999999"/>
    <n v="9.5683266400000022E-2"/>
    <n v="4.083108589402365E-2"/>
    <n v="380.87216000000001"/>
    <n v="658.77800000000002"/>
    <n v="2.4691200000000002"/>
    <n v="5.4661"/>
    <n v="1.0932200000000001"/>
    <n v="0.44275693364437529"/>
    <n v="5"/>
    <n v="58"/>
    <n v="2253"/>
    <n v="278"/>
    <n v="0"/>
    <n v="67.419495999999995"/>
    <n v="24.611868999999999"/>
    <n v="20000"/>
    <n v="0"/>
  </r>
  <r>
    <x v="16"/>
    <n v="2.6719239791499998"/>
    <n v="0.21634292045"/>
    <n v="0.75208584325000005"/>
    <n v="1.70349521545"/>
    <n v="1.55280728645"/>
    <n v="1.1191166926999998"/>
    <n v="0.58115698596484155"/>
    <n v="2.8131980690999998"/>
    <n v="0.37412215699999996"/>
    <n v="0.15338684423228452"/>
    <n v="3688.7010340000002"/>
    <n v="72.096000000000004"/>
    <n v="2.1614"/>
    <n v="1.6841999999999999"/>
    <n v="0.84209999999999996"/>
    <n v="0.38960858702692697"/>
    <n v="2"/>
    <n v="17"/>
    <n v="2270"/>
    <n v="257"/>
    <n v="0"/>
    <n v="16.060213999999998"/>
    <n v="8.5956600000000005"/>
    <n v="20000"/>
    <n v="0"/>
  </r>
  <r>
    <x v="17"/>
    <n v="2.6525578567400001"/>
    <n v="0.21439866046"/>
    <n v="0.80738515609999995"/>
    <n v="1.6307740401799999"/>
    <n v="1.48034224388"/>
    <n v="1.1722156128600001"/>
    <n v="0.55808103869196812"/>
    <n v="2.4307099911000001"/>
    <n v="-0.38248807799999973"/>
    <n v="-0.13596201497549212"/>
    <n v="-4285.2449720000004"/>
    <n v="530.39350000000002"/>
    <n v="1.93642"/>
    <n v="6.1646000000000001"/>
    <n v="1.23292"/>
    <n v="0.63670071575381371"/>
    <n v="5"/>
    <n v="27"/>
    <n v="2297"/>
    <n v="274"/>
    <n v="0"/>
    <n v="60.784807999999998"/>
    <n v="27.726300999999999"/>
    <n v="20000"/>
    <n v="0"/>
  </r>
  <r>
    <x v="18"/>
    <n v="2.4722082324599999"/>
    <n v="0.25317599678000002"/>
    <n v="0.85109343392000003"/>
    <n v="1.36793880176"/>
    <n v="1.21856446482"/>
    <n v="1.2536437676399999"/>
    <n v="0.49290526939450124"/>
    <n v="2.5095060580999999"/>
    <n v="7.8796066999999859E-2"/>
    <n v="3.2416893536666325E-2"/>
    <n v="1002.308548"/>
    <n v="-130.30950000000001"/>
    <n v="1.85816"/>
    <n v="7.5484999999999998"/>
    <n v="1.5097"/>
    <n v="0.81247040082662425"/>
    <n v="5"/>
    <n v="44"/>
    <n v="2341"/>
    <n v="290"/>
    <n v="0"/>
    <n v="106.776878"/>
    <n v="46.618541999999998"/>
    <n v="20000"/>
    <n v="0"/>
  </r>
  <r>
    <x v="19"/>
    <n v="2.7713307470199999"/>
    <n v="0.29726445425999998"/>
    <n v="1.0736211341999999"/>
    <n v="1.40044515856"/>
    <n v="1.2176017317600001"/>
    <n v="1.5537290152599998"/>
    <n v="0.43935633921331185"/>
    <n v="2.7616092212000001"/>
    <n v="0.25210316310000014"/>
    <n v="0.10045927655216452"/>
    <n v="2191.2872149999998"/>
    <n v="476.1515"/>
    <n v="2.1041599999999998"/>
    <n v="11.148099999999999"/>
    <n v="2.2296200000000002"/>
    <n v="1.0596247433655237"/>
    <n v="5"/>
    <n v="37"/>
    <n v="2377"/>
    <n v="312"/>
    <n v="1"/>
    <n v="147.50758400000001"/>
    <n v="82.407782999999995"/>
    <n v="20000"/>
    <n v="0"/>
  </r>
  <r>
    <x v="20"/>
    <n v="2.9240418307399998"/>
    <n v="0.28080275844000002"/>
    <n v="1.1393724661"/>
    <n v="1.5038666061999999"/>
    <n v="1.3541396301799999"/>
    <n v="1.5699022005599998"/>
    <n v="0.4631054234396168"/>
    <n v="2.8636991887000001"/>
    <n v="0.10208996749999999"/>
    <n v="3.6967564677973845E-2"/>
    <n v="1968.498902"/>
    <n v="-867.53"/>
    <n v="2.3368600000000002"/>
    <n v="11.2097"/>
    <n v="2.24194"/>
    <n v="0.95938139212447471"/>
    <n v="5"/>
    <n v="46"/>
    <n v="2421"/>
    <n v="316"/>
    <n v="2"/>
    <n v="121.555727"/>
    <n v="69.194365000000005"/>
    <n v="20000"/>
    <n v="0"/>
  </r>
  <r>
    <x v="21"/>
    <n v="2.9760141285200001"/>
    <n v="0.27662172419999997"/>
    <n v="1.1569377279199999"/>
    <n v="1.5424546764"/>
    <n v="1.3924514942999999"/>
    <n v="1.5835626342200002"/>
    <n v="0.46789142596996985"/>
    <n v="3.0410947411000002"/>
    <n v="0.17739555240000016"/>
    <n v="6.1946294184805892E-2"/>
    <n v="412.29633999999999"/>
    <n v="1418.3920000000001"/>
    <n v="2.4203600000000001"/>
    <n v="10.7385"/>
    <n v="2.1476999999999999"/>
    <n v="0.8873473367598208"/>
    <n v="5"/>
    <n v="79"/>
    <n v="2500"/>
    <n v="336"/>
    <n v="0"/>
    <n v="120.809316"/>
    <n v="55.718800999999999"/>
    <n v="20000"/>
    <n v="0"/>
  </r>
  <r>
    <x v="22"/>
    <n v="2.8180956910499999"/>
    <n v="0.26834493990000002"/>
    <n v="1.1786047450249999"/>
    <n v="1.371146006125"/>
    <n v="1.2212887639250001"/>
    <n v="1.5968069271249998"/>
    <n v="0.43337377357472118"/>
    <n v="2.9160362546999998"/>
    <n v="-0.12505848640000039"/>
    <n v="-4.1122851159436501E-2"/>
    <n v="-1014.495664"/>
    <n v="-145.864"/>
    <n v="2.3110499999999998"/>
    <n v="6.1768999999999998"/>
    <n v="1.544225"/>
    <n v="0.66819194738322407"/>
    <n v="4"/>
    <n v="39"/>
    <n v="2536"/>
    <n v="326"/>
    <n v="3"/>
    <n v="83.109200000000001"/>
    <n v="38.079109000000003"/>
    <n v="20000"/>
    <n v="0"/>
  </r>
  <r>
    <x v="23"/>
    <n v="2.9307189022800002"/>
    <n v="0.29446389231999998"/>
    <n v="1.1837150270800001"/>
    <n v="1.4525399828800001"/>
    <n v="1.3027222756800001"/>
    <n v="1.6279966266000001"/>
    <n v="0.44450604753206668"/>
    <n v="2.9303451111999999"/>
    <n v="1.4308856500000022E-2"/>
    <n v="4.9069542523476305E-3"/>
    <n v="-35.5908730000004"/>
    <n v="262.0335"/>
    <n v="2.3378800000000002"/>
    <n v="9.4343000000000004"/>
    <n v="1.88686"/>
    <n v="0.80708162951049667"/>
    <n v="5"/>
    <n v="43"/>
    <n v="2576"/>
    <n v="357"/>
    <n v="3"/>
    <n v="93.005812000000006"/>
    <n v="36.644064"/>
    <n v="30000"/>
    <n v="0"/>
  </r>
  <r>
    <x v="24"/>
    <n v="2.8938932258799999"/>
    <n v="0.29691092615999998"/>
    <n v="1.1887227815200001"/>
    <n v="1.4082595181999999"/>
    <n v="1.2582249596999999"/>
    <n v="1.6356682661799999"/>
    <n v="0.43478624174787517"/>
    <n v="2.7352015141999999"/>
    <n v="-0.19514359699999995"/>
    <n v="-6.6594066430655699E-2"/>
    <n v="-185.22385800000001"/>
    <n v="-1790.3975"/>
    <n v="2.2040199999999999"/>
    <n v="5.3476999999999997"/>
    <n v="1.0695399999999999"/>
    <n v="0.48526782878558272"/>
    <n v="5"/>
    <n v="31"/>
    <n v="2605"/>
    <n v="347"/>
    <n v="2"/>
    <n v="62.740112000000003"/>
    <n v="30.891832000000001"/>
    <n v="30000"/>
    <n v="0"/>
  </r>
  <r>
    <x v="25"/>
    <n v="2.8904741228600002"/>
    <n v="0.29557090068000003"/>
    <n v="1.23196738038"/>
    <n v="1.3629358417999999"/>
    <n v="1.21303415574"/>
    <n v="1.6774399671200002"/>
    <n v="0.41966615308763072"/>
    <n v="2.8686989424"/>
    <n v="0.1334974282000001"/>
    <n v="4.8807163752629695E-2"/>
    <n v="1569.106753"/>
    <n v="-167.149"/>
    <n v="2.6289400000000001"/>
    <n v="4.7972000000000001"/>
    <n v="0.95943999999999996"/>
    <n v="0.36495317504393404"/>
    <n v="5"/>
    <n v="42"/>
    <n v="2647"/>
    <n v="354"/>
    <n v="0"/>
    <n v="81.328871000000007"/>
    <n v="43.451492000000002"/>
    <n v="30000"/>
    <n v="0"/>
  </r>
  <r>
    <x v="26"/>
    <n v="2.9488144189600001"/>
    <n v="0.30024720583999998"/>
    <n v="1.17426056544"/>
    <n v="1.47430664768"/>
    <n v="1.31942272318"/>
    <n v="1.6293916957800001"/>
    <n v="0.44744176327153862"/>
    <n v="3.1385004393"/>
    <n v="0.26980149689999999"/>
    <n v="9.4050125969049825E-2"/>
    <n v="2694.0599069999998"/>
    <n v="69.442499999999995"/>
    <n v="2.6072600000000001"/>
    <n v="6.4230999999999998"/>
    <n v="1.2846200000000001"/>
    <n v="0.49270882075435518"/>
    <n v="5"/>
    <n v="32"/>
    <n v="2677"/>
    <n v="362"/>
    <n v="2"/>
    <n v="82.908438000000004"/>
    <n v="38.421954999999997"/>
    <n v="30000"/>
    <n v="0"/>
  </r>
  <r>
    <x v="27"/>
    <n v="3.18541720188"/>
    <n v="0.38293663983999998"/>
    <n v="1.12703822594"/>
    <n v="1.6754423360999999"/>
    <n v="1.51839190174"/>
    <n v="1.6670253001399999"/>
    <n v="0.47666971247717915"/>
    <n v="3.0369243791999998"/>
    <n v="-0.1015760601000002"/>
    <n v="-3.236451995611489E-2"/>
    <n v="-987.34131100000002"/>
    <n v="93.968000000000004"/>
    <n v="2.5937800000000002"/>
    <n v="7.0164"/>
    <n v="1.4032800000000001"/>
    <n v="0.54101735690767916"/>
    <n v="5"/>
    <n v="51"/>
    <n v="2725"/>
    <n v="366"/>
    <n v="3"/>
    <n v="74.983540000000005"/>
    <n v="34.861756999999997"/>
    <n v="30000"/>
    <n v="0"/>
  </r>
  <r>
    <x v="28"/>
    <n v="2.9818461429599998"/>
    <n v="0.39385395072000001"/>
    <n v="1.1080891399199999"/>
    <n v="1.4799030523200001"/>
    <n v="1.31778631786"/>
    <n v="1.6640598250999998"/>
    <n v="0.4419363892973594"/>
    <n v="2.9321316454000002"/>
    <n v="-0.10479273379999965"/>
    <n v="-3.4506204539608794E-2"/>
    <n v="-504.466284999999"/>
    <n v="-352.45"/>
    <n v="2.5227200000000001"/>
    <n v="9.6746999999999996"/>
    <n v="1.9349400000000001"/>
    <n v="0.7670054544301389"/>
    <n v="5"/>
    <n v="67"/>
    <n v="2792"/>
    <n v="381"/>
    <n v="0"/>
    <n v="69.874803"/>
    <n v="27.989802999999998"/>
    <n v="30000"/>
    <n v="0"/>
  </r>
  <r>
    <x v="29"/>
    <n v="2.8087003732800002"/>
    <n v="0.40033374177999997"/>
    <n v="1.0740976385600001"/>
    <n v="1.33426899294"/>
    <n v="1.1717603297600001"/>
    <n v="1.6369400435200001"/>
    <n v="0.41718950903674301"/>
    <n v="2.7363264074"/>
    <n v="-0.19580523800000016"/>
    <n v="-6.6779142848918199E-2"/>
    <n v="-1439.5070089999999"/>
    <n v="-486.6755"/>
    <n v="2.5121799999999999"/>
    <n v="6.6047000000000002"/>
    <n v="1.32094"/>
    <n v="0.52581423305654851"/>
    <n v="5"/>
    <n v="58"/>
    <n v="2850"/>
    <n v="395"/>
    <n v="0"/>
    <n v="62.688121000000002"/>
    <n v="34.378318"/>
    <n v="30000"/>
    <n v="0"/>
  </r>
  <r>
    <x v="30"/>
    <n v="2.8080010204999999"/>
    <n v="0.42867607229999999"/>
    <n v="1.09793869458"/>
    <n v="1.28138625362"/>
    <n v="1.1228638157199999"/>
    <n v="1.68513720478"/>
    <n v="0.3998801309267544"/>
    <n v="2.8310991366999998"/>
    <n v="9.4772729299999803E-2"/>
    <n v="3.4635023454694817E-2"/>
    <n v="727.70915600000001"/>
    <n v="263.8"/>
    <n v="2.6527799999999999"/>
    <n v="6.4752000000000001"/>
    <n v="1.29504"/>
    <n v="0.48818220885259994"/>
    <n v="5"/>
    <n v="84"/>
    <n v="2933"/>
    <n v="409"/>
    <n v="1"/>
    <n v="59.468612999999998"/>
    <n v="35.576489000000002"/>
    <n v="30000"/>
    <n v="0"/>
  </r>
  <r>
    <x v="31"/>
    <n v="2.7256384894600001"/>
    <n v="0.44269747908000001"/>
    <n v="1.1297358676"/>
    <n v="1.1532051427800001"/>
    <n v="1.1028082179400001"/>
    <n v="1.62283027152"/>
    <n v="0.40460546114407381"/>
    <n v="2.7969990071000002"/>
    <n v="-3.410012959999964E-2"/>
    <n v="-1.2044837694997713E-2"/>
    <n v="8.3072119999989908"/>
    <n v="-152.25649999999999"/>
    <n v="3.17014"/>
    <n v="12.5517"/>
    <n v="2.5103399999999998"/>
    <n v="0.79187039058211939"/>
    <n v="5"/>
    <n v="62"/>
    <n v="2993"/>
    <n v="416"/>
    <n v="2"/>
    <n v="106.686008"/>
    <n v="45.795929999999998"/>
    <n v="30000"/>
    <n v="0"/>
  </r>
  <r>
    <x v="32"/>
    <n v="2.7406539206999998"/>
    <n v="0.51589821256000001"/>
    <n v="1.1966215708800001"/>
    <n v="1.0281341372599999"/>
    <n v="1.0049095515399999"/>
    <n v="1.7357443691599999"/>
    <n v="0.3666678028736049"/>
    <n v="2.8308240482999998"/>
    <n v="3.3825041199999628E-2"/>
    <n v="1.2093333288334018E-2"/>
    <n v="1536.2724209999999"/>
    <n v="-1095.4135000000001"/>
    <n v="3.18832"/>
    <n v="13.113"/>
    <n v="2.6225999999999998"/>
    <n v="0.82256486174537058"/>
    <n v="5"/>
    <n v="83"/>
    <n v="3074"/>
    <n v="439"/>
    <n v="2"/>
    <n v="108.303009"/>
    <n v="47.894575000000003"/>
    <n v="30000"/>
    <n v="0"/>
  </r>
  <r>
    <x v="33"/>
    <n v="2.9025708792999998"/>
    <n v="0.62708826305999998"/>
    <n v="1.2141525699"/>
    <n v="1.0613300463399999"/>
    <n v="1.0395542269"/>
    <n v="1.8630166523999998"/>
    <n v="0.35814947166792521"/>
    <n v="2.8648604391000001"/>
    <n v="3.4036390800000316E-2"/>
    <n v="1.2023492177283239E-2"/>
    <n v="904.94522199999994"/>
    <n v="-452.53899999999999"/>
    <n v="3.5826799999999999"/>
    <n v="9.9618000000000002"/>
    <n v="1.9923599999999999"/>
    <n v="0.55610883472707584"/>
    <n v="5"/>
    <n v="88"/>
    <n v="3162"/>
    <n v="474"/>
    <n v="0"/>
    <n v="101.71881399999999"/>
    <n v="53.200822000000002"/>
    <n v="30000"/>
    <n v="0"/>
  </r>
  <r>
    <x v="34"/>
    <n v="3.05160591374"/>
    <n v="0.64658237669999996"/>
    <n v="1.2407369902400001"/>
    <n v="1.1642865468000001"/>
    <n v="1.1416178127600001"/>
    <n v="1.9099881009799999"/>
    <n v="0.37410394560444776"/>
    <n v="3.2032711489999999"/>
    <n v="0.33841070989999977"/>
    <n v="0.11812467556231535"/>
    <n v="3971.8111410000001"/>
    <n v="-434.43700000000001"/>
    <n v="3.6395400000000002"/>
    <n v="16.5916"/>
    <n v="3.3183199999999999"/>
    <n v="0.91174159371788732"/>
    <n v="5"/>
    <n v="80"/>
    <n v="3240"/>
    <n v="481"/>
    <n v="2"/>
    <n v="134.569242"/>
    <n v="58.558472999999999"/>
    <n v="30000"/>
    <n v="0"/>
  </r>
  <r>
    <x v="35"/>
    <n v="3.5258835029200002"/>
    <n v="0.82786165203999995"/>
    <n v="1.26155151972"/>
    <n v="1.43647033116"/>
    <n v="1.4104847597400001"/>
    <n v="2.1153987431800001"/>
    <n v="0.40003725550543323"/>
    <n v="3.6209853194999999"/>
    <n v="0.41771417050000004"/>
    <n v="0.13040237653012995"/>
    <n v="5419.6899450000001"/>
    <n v="-1022.438"/>
    <n v="4.9345600000000003"/>
    <n v="17.552800000000001"/>
    <n v="3.5105599999999999"/>
    <n v="0.7114231056061735"/>
    <n v="5"/>
    <n v="87"/>
    <n v="3325"/>
    <n v="505"/>
    <n v="2"/>
    <n v="150.44084000000001"/>
    <n v="78.278180000000006"/>
    <n v="30000"/>
    <n v="0"/>
  </r>
  <r>
    <x v="36"/>
    <n v="3.5275617575660001"/>
    <n v="0.83477192863299998"/>
    <n v="1.147766894633"/>
    <n v="1.5450229342999999"/>
    <n v="1.5181973107669999"/>
    <n v="2.0093644467990002"/>
    <n v="0.43038149722275831"/>
    <n v="3.6375008422000001"/>
    <n v="1.6515522700000229E-2"/>
    <n v="4.5610576245806922E-3"/>
    <n v="54.602323999999797"/>
    <n v="179.70699999999999"/>
    <n v="4.99386666666667"/>
    <n v="7.0571000000000002"/>
    <n v="2.3523666666666698"/>
    <n v="0.4710511560847977"/>
    <n v="3"/>
    <n v="30"/>
    <n v="3355"/>
    <n v="478"/>
    <n v="0"/>
    <n v="69.987347"/>
    <n v="40.206707999999999"/>
    <n v="30000"/>
    <n v="0"/>
  </r>
  <r>
    <x v="37"/>
    <n v="3.6285851843999999"/>
    <n v="0.83243561954"/>
    <n v="1.1257934495799999"/>
    <n v="1.6703561152799999"/>
    <n v="1.6438484784"/>
    <n v="1.9847367059999999"/>
    <n v="0.45302739080433535"/>
    <n v="3.6210482959000001"/>
    <n v="-1.6452546300000037E-2"/>
    <n v="-4.5230357362747321E-3"/>
    <n v="-1049.330035"/>
    <n v="1115.0695000000001"/>
    <n v="4.7533000000000003"/>
    <n v="18.156300000000002"/>
    <n v="3.6312600000000002"/>
    <n v="0.76394504870300628"/>
    <n v="5"/>
    <n v="78"/>
    <n v="3432"/>
    <n v="513"/>
    <n v="1"/>
    <n v="200.921978"/>
    <n v="95.887746000000007"/>
    <n v="30000"/>
    <n v="0"/>
  </r>
  <r>
    <x v="38"/>
    <n v="3.73151165712"/>
    <n v="0.90457357691999996"/>
    <n v="1.1544070801399999"/>
    <n v="1.67253100006"/>
    <n v="1.6224902531200001"/>
    <n v="2.1090214039999999"/>
    <n v="0.43480776752342948"/>
    <n v="3.7111134643999999"/>
    <n v="9.0065168499999793E-2"/>
    <n v="2.487267805899683E-2"/>
    <n v="-967.69033100000001"/>
    <n v="2135.5355"/>
    <n v="4.7919799999999997"/>
    <n v="11.771599999999999"/>
    <n v="2.35432"/>
    <n v="0.49130422080225711"/>
    <n v="5"/>
    <n v="81"/>
    <n v="3513"/>
    <n v="513"/>
    <n v="0"/>
    <n v="150.172684"/>
    <n v="75.154760999999993"/>
    <n v="30000"/>
    <n v="0"/>
  </r>
  <r>
    <x v="39"/>
    <n v="4.1534596588200001"/>
    <n v="1.0659969418799999"/>
    <n v="1.1406695627600001"/>
    <n v="1.9467931541800001"/>
    <n v="1.8728789598"/>
    <n v="2.2805806990200002"/>
    <n v="0.45092022401683463"/>
    <n v="4.2523453613999997"/>
    <n v="0.54123189699999985"/>
    <n v="0.14584083784878413"/>
    <n v="7680.8644430000004"/>
    <n v="-2048.4349000000002"/>
    <n v="4.5767600000000002"/>
    <n v="20.7699"/>
    <n v="4.1539799999999998"/>
    <n v="0.90762460780115184"/>
    <n v="5"/>
    <n v="59"/>
    <n v="3571"/>
    <n v="534"/>
    <n v="1"/>
    <n v="219.066823"/>
    <n v="93.909504999999996"/>
    <n v="30000"/>
    <n v="0"/>
  </r>
  <r>
    <x v="40"/>
    <n v="4.6873205682999997"/>
    <n v="1.79547119798"/>
    <n v="1.10183679692"/>
    <n v="1.7900125734000001"/>
    <n v="1.71555072014"/>
    <n v="2.9717698481599997"/>
    <n v="0.36599816358670706"/>
    <n v="4.9313263897999997"/>
    <n v="0.67898102839999996"/>
    <n v="0.15967212695453764"/>
    <n v="6692.2904669999998"/>
    <n v="299.06450000000001"/>
    <n v="4.05966"/>
    <n v="14.521800000000001"/>
    <n v="2.9043600000000001"/>
    <n v="0.71541951789066083"/>
    <n v="5"/>
    <n v="65"/>
    <n v="3634"/>
    <n v="501"/>
    <n v="2"/>
    <n v="171.28668300000001"/>
    <n v="78.261933999999997"/>
    <n v="30000"/>
    <n v="0"/>
  </r>
  <r>
    <x v="41"/>
    <n v="4.7332694251799996"/>
    <n v="1.7612030884800001"/>
    <n v="1.1064514239000001"/>
    <n v="1.8656149127999999"/>
    <n v="1.7889318890999999"/>
    <n v="2.9443375360799999"/>
    <n v="0.37794845980734959"/>
    <n v="4.8845581851000004"/>
    <n v="-4.6768204699999316E-2"/>
    <n v="-9.4838996657643868E-3"/>
    <n v="2.90024399999976"/>
    <n v="-284.95299999999997"/>
    <n v="4.4230999999999998"/>
    <n v="15.6777"/>
    <n v="3.1355400000000002"/>
    <n v="0.70890099703827636"/>
    <n v="5"/>
    <n v="63"/>
    <n v="3696"/>
    <n v="523"/>
    <n v="1"/>
    <n v="159.625091"/>
    <n v="79.601111000000003"/>
    <n v="30000"/>
    <n v="0"/>
  </r>
  <r>
    <x v="42"/>
    <n v="4.5361174470199996"/>
    <n v="1.9311370840199999"/>
    <n v="1.0055913476"/>
    <n v="1.5993890153999999"/>
    <n v="1.5222303026799999"/>
    <n v="3.0138871443399999"/>
    <n v="0.33558000216242823"/>
    <n v="4.4947307985"/>
    <n v="-0.38982738660000038"/>
    <n v="-7.9808116072635035E-2"/>
    <n v="-3260.6820699999998"/>
    <n v="-477.12349999999998"/>
    <n v="4.6010999999999997"/>
    <n v="11.651"/>
    <n v="2.3302"/>
    <n v="0.50644411119080224"/>
    <n v="5"/>
    <n v="118"/>
    <n v="3814"/>
    <n v="516"/>
    <n v="0"/>
    <n v="163.99734599999999"/>
    <n v="85.659480000000002"/>
    <n v="30000"/>
    <n v="0"/>
  </r>
  <r>
    <x v="43"/>
    <n v="4.2653674777599999"/>
    <n v="1.9529240077600001"/>
    <n v="1.07201419046"/>
    <n v="1.24042927954"/>
    <n v="1.1634589042000001"/>
    <n v="3.1019085735599998"/>
    <n v="0.27276873804341051"/>
    <n v="4.2237732095"/>
    <n v="-0.270957589"/>
    <n v="-6.0283385401062303E-2"/>
    <n v="-1510.227185"/>
    <n v="-952.81830000000002"/>
    <n v="4.9642200000000001"/>
    <n v="13.002700000000001"/>
    <n v="2.6005400000000001"/>
    <n v="0.52385671867886596"/>
    <n v="5"/>
    <n v="115"/>
    <n v="3927"/>
    <n v="565"/>
    <n v="2"/>
    <n v="218.421955"/>
    <n v="88.625116000000006"/>
    <n v="30000"/>
    <n v="0"/>
  </r>
  <r>
    <x v="44"/>
    <n v="4.3070369187399997"/>
    <n v="1.9883562559600001"/>
    <n v="1.0839536943999999"/>
    <n v="1.23472696838"/>
    <n v="1.15752917654"/>
    <n v="3.1495077422"/>
    <n v="0.26875301939102691"/>
    <n v="4.7134241936999999"/>
    <n v="0.48965098419999986"/>
    <n v="0.11592738528164573"/>
    <n v="4454.8692659999997"/>
    <n v="587.90899999999999"/>
    <n v="4.9881200000000003"/>
    <n v="7.9455999999999998"/>
    <n v="1.5891200000000001"/>
    <n v="0.3185809483332398"/>
    <n v="5"/>
    <n v="62"/>
    <n v="3989"/>
    <n v="549"/>
    <n v="0"/>
    <n v="133.50617399999999"/>
    <n v="65.475994999999998"/>
    <n v="30000"/>
    <n v="0"/>
  </r>
  <r>
    <x v="45"/>
    <n v="4.0652671509999996"/>
    <n v="1.6257105909"/>
    <n v="1.0690843581"/>
    <n v="1.370472202"/>
    <n v="1.2941749281599999"/>
    <n v="2.7710922228399997"/>
    <n v="0.31834929417655877"/>
    <n v="3.1930291889000002"/>
    <n v="-1.5203950047999997"/>
    <n v="-0.32256697940155094"/>
    <n v="-14212.645431999999"/>
    <n v="-860.47900000000004"/>
    <n v="5.1391200000000001"/>
    <n v="8.3731000000000009"/>
    <n v="1.67462"/>
    <n v="0.32585734522642007"/>
    <n v="5"/>
    <n v="46"/>
    <n v="4034"/>
    <n v="551"/>
    <n v="1"/>
    <n v="134.56796600000001"/>
    <n v="63.541524000000003"/>
    <n v="30000"/>
    <n v="0"/>
  </r>
  <r>
    <x v="46"/>
    <n v="4.2058848399000004"/>
    <n v="1.9608617717200001"/>
    <n v="1.0508128076800001"/>
    <n v="1.1942102605"/>
    <n v="1.1495267169400001"/>
    <n v="3.0563581229600003"/>
    <n v="0.27331388297529596"/>
    <n v="4.0755290338999997"/>
    <n v="0.88249984499999945"/>
    <n v="0.27638326892464798"/>
    <n v="9462.2987329999996"/>
    <n v="-531.19749999999999"/>
    <n v="5.4908400000000004"/>
    <n v="9.4108000000000001"/>
    <n v="1.8821600000000001"/>
    <n v="0.34278179659214253"/>
    <n v="5"/>
    <n v="27"/>
    <n v="4060"/>
    <n v="544"/>
    <n v="1"/>
    <n v="110.823033"/>
    <n v="48.934539999999998"/>
    <n v="30000"/>
    <n v="0"/>
  </r>
  <r>
    <x v="47"/>
    <n v="4.1289584576799996"/>
    <n v="1.96468868698"/>
    <n v="1.0262772348"/>
    <n v="1.1379925359"/>
    <n v="1.11521818214"/>
    <n v="3.0137402755399996"/>
    <n v="0.27009673106922577"/>
    <n v="4.0827902390000004"/>
    <n v="7.2612051000007227E-3"/>
    <n v="1.7816595194396765E-3"/>
    <n v="-348.55159700000002"/>
    <n v="521.96450000000004"/>
    <n v="4.5223599999999999"/>
    <n v="9.3644999999999996"/>
    <n v="1.8729"/>
    <n v="0.41414217355540028"/>
    <n v="5"/>
    <n v="47"/>
    <n v="4106"/>
    <n v="540"/>
    <n v="1"/>
    <n v="97.733452"/>
    <n v="44.591242999999999"/>
    <n v="30000"/>
    <n v="0"/>
  </r>
  <r>
    <x v="48"/>
    <n v="4.3077451497380004"/>
    <n v="1.9935874738379999"/>
    <n v="1.0702284172000001"/>
    <n v="1.2439292586999999"/>
    <n v="1.2211634113800001"/>
    <n v="3.0865817383580003"/>
    <n v="0.28348088592340981"/>
    <n v="4.4385565144910002"/>
    <n v="0.35576627549099982"/>
    <n v="8.7138024406107573E-2"/>
    <n v="2766.0530759100002"/>
    <n v="902.18769999999995"/>
    <n v="4.4309399999999997"/>
    <n v="9.6720000000000006"/>
    <n v="1.9343999999999999"/>
    <n v="0.43656650733252989"/>
    <n v="5"/>
    <n v="40"/>
    <n v="4146"/>
    <n v="529"/>
    <n v="0"/>
    <n v="103.252921"/>
    <n v="46.272329999999997"/>
    <n v="30000"/>
    <n v="0"/>
  </r>
  <r>
    <x v="49"/>
    <n v="4.607907343211"/>
    <n v="1.985111977911"/>
    <n v="1.2260746384400001"/>
    <n v="1.3967207268599999"/>
    <n v="1.3737228963999999"/>
    <n v="3.2341844468110001"/>
    <n v="0.29812294260299232"/>
    <n v="4.931932195091"/>
    <n v="0.49337568059999981"/>
    <n v="0.11115678689439389"/>
    <n v="5497.3224749999999"/>
    <n v="-484.53550000000001"/>
    <n v="3.7377799999999999"/>
    <n v="8.8046000000000006"/>
    <n v="1.76092"/>
    <n v="0.47111386973016073"/>
    <n v="5"/>
    <n v="27"/>
    <n v="4171"/>
    <n v="523"/>
    <n v="2"/>
    <n v="98.417669000000004"/>
    <n v="47.879365999999997"/>
    <n v="30000"/>
    <n v="0"/>
  </r>
  <r>
    <x v="50"/>
    <n v="4.1812013007409998"/>
    <n v="1.7174919380160001"/>
    <n v="1.3013376481000001"/>
    <n v="1.1623717146250001"/>
    <n v="1.1375765762000001"/>
    <n v="3.043624724541"/>
    <n v="0.27206931558124137"/>
    <n v="4.231543006191"/>
    <n v="-0.70038918890000001"/>
    <n v="-0.14201111475075279"/>
    <n v="-8527.2847160000001"/>
    <n v="1600.8995"/>
    <n v="3.5372249999999998"/>
    <n v="6.5255999999999998"/>
    <n v="1.6314"/>
    <n v="0.4612089985793949"/>
    <n v="4"/>
    <n v="22"/>
    <n v="4191"/>
    <n v="514"/>
    <n v="2"/>
    <n v="63.811472999999999"/>
    <n v="34.076746999999997"/>
    <n v="30000"/>
    <n v="0"/>
  </r>
  <r>
    <x v="51"/>
    <n v="3.9113849323109999"/>
    <n v="1.886124201431"/>
    <n v="1.0419927770199999"/>
    <n v="0.98326795385999999"/>
    <n v="0.93530538429999999"/>
    <n v="2.9760795480110001"/>
    <n v="0.23912383988946462"/>
    <n v="3.8989510074910001"/>
    <n v="-0.33259199869999989"/>
    <n v="-7.8598279212428651E-2"/>
    <n v="-3695.9326350000001"/>
    <n v="479.05849999999998"/>
    <n v="3.6648200000000002"/>
    <n v="8.3806999999999992"/>
    <n v="1.67614"/>
    <n v="0.4573594337511801"/>
    <n v="5"/>
    <n v="37"/>
    <n v="4227"/>
    <n v="513"/>
    <n v="1"/>
    <n v="83.409301999999997"/>
    <n v="45.834663999999997"/>
    <n v="30000"/>
    <n v="0"/>
  </r>
  <r>
    <x v="52"/>
    <n v="4.0521448610709996"/>
    <n v="1.842469016351"/>
    <n v="1.11495692006"/>
    <n v="1.09471892466"/>
    <n v="1.0412254401600001"/>
    <n v="3.0109194209109997"/>
    <n v="0.25695661825001975"/>
    <n v="4.1693483592909999"/>
    <n v="0.2703973517999998"/>
    <n v="6.9351307898070313E-2"/>
    <n v="1694.352189"/>
    <n v="1088.9045000000001"/>
    <n v="4.2081400000000002"/>
    <n v="8.8401999999999994"/>
    <n v="1.7680400000000001"/>
    <n v="0.4201476186628772"/>
    <n v="5"/>
    <n v="46"/>
    <n v="4272"/>
    <n v="520"/>
    <n v="1"/>
    <n v="120.20517100000001"/>
    <n v="71.847955999999996"/>
    <n v="30000"/>
    <n v="0"/>
  </r>
  <r>
    <x v="53"/>
    <n v="4.3161338739910002"/>
    <n v="1.9473971848110001"/>
    <n v="1.22688880056"/>
    <n v="1.1418478886200001"/>
    <n v="1.0959472592399999"/>
    <n v="3.2201866147510003"/>
    <n v="0.25391873635898371"/>
    <n v="4.5306659497909996"/>
    <n v="0.36131759049999967"/>
    <n v="8.6660446516741027E-2"/>
    <n v="4251.0763109999998"/>
    <n v="-558.42600000000004"/>
    <n v="4.3217600000000003"/>
    <n v="6.5850999999999997"/>
    <n v="1.3170200000000001"/>
    <n v="0.30474158676094926"/>
    <n v="5"/>
    <n v="22"/>
    <n v="4293"/>
    <n v="490"/>
    <n v="1"/>
    <n v="88.933105999999995"/>
    <n v="53.606237999999998"/>
    <n v="30000"/>
    <n v="0"/>
  </r>
  <r>
    <x v="54"/>
    <n v="4.121066182641"/>
    <n v="1.7449442172909999"/>
    <n v="1.169718794325"/>
    <n v="1.2064031710250001"/>
    <n v="1.166727205375"/>
    <n v="2.954338977266"/>
    <n v="0.28311295030629641"/>
    <n v="4.1952979626909999"/>
    <n v="-0.33536798709999971"/>
    <n v="-7.402178638119862E-2"/>
    <n v="-3065.0005460000002"/>
    <n v="-248.06700000000001"/>
    <n v="4.5129250000000001"/>
    <n v="4.5903999999999998"/>
    <n v="1.1476"/>
    <n v="0.25429183954973766"/>
    <n v="4"/>
    <n v="20"/>
    <n v="4313"/>
    <n v="453"/>
    <n v="0"/>
    <n v="49.207025000000002"/>
    <n v="26.417231999999998"/>
    <n v="30000"/>
    <n v="0"/>
  </r>
  <r>
    <x v="55"/>
    <n v="4.1904849269710001"/>
    <n v="1.978641866791"/>
    <n v="1.09471821854"/>
    <n v="1.1171248416399999"/>
    <n v="1.0642049873999999"/>
    <n v="3.1262799395709999"/>
    <n v="0.25395747889474862"/>
    <n v="4.0437479565909999"/>
    <n v="-0.15155000609999991"/>
    <n v="-3.6123776534525531E-2"/>
    <n v="-1402.9919170000001"/>
    <n v="-40.372500000000002"/>
    <n v="4.1135799999999998"/>
    <n v="7.2769000000000004"/>
    <n v="1.4553799999999999"/>
    <n v="0.35379888078024496"/>
    <n v="5"/>
    <n v="53"/>
    <n v="4365"/>
    <n v="505"/>
    <n v="1"/>
    <n v="78.918093999999996"/>
    <n v="44.284244999999999"/>
    <n v="30000"/>
    <n v="0"/>
  </r>
  <r>
    <x v="56"/>
    <n v="4.0979678345310004"/>
    <n v="1.9990278785510001"/>
    <n v="1.17713136054"/>
    <n v="0.92180859544000004"/>
    <n v="0.86453863324000002"/>
    <n v="3.2334292012910004"/>
    <n v="0.21096764741662347"/>
    <n v="4.1005093951909997"/>
    <n v="5.6761438599999714E-2"/>
    <n v="1.4036838895332956E-2"/>
    <n v="554.59384400000101"/>
    <n v="137.17699999999999"/>
    <n v="4.0670799999999998"/>
    <n v="7.5034000000000001"/>
    <n v="1.50068"/>
    <n v="0.36898216902544334"/>
    <n v="5"/>
    <n v="122"/>
    <n v="4485"/>
    <n v="560"/>
    <n v="2"/>
    <n v="91.574808000000004"/>
    <n v="51.749884999999999"/>
    <n v="30000"/>
    <n v="0"/>
  </r>
  <r>
    <x v="57"/>
    <n v="3.9398739828510001"/>
    <n v="1.7187568196309999"/>
    <n v="1.2538932732000001"/>
    <n v="0.96722389001999998"/>
    <n v="0.90941573590000002"/>
    <n v="3.030458246951"/>
    <n v="0.2308235592961585"/>
    <n v="3.362933492791"/>
    <n v="-0.73757590239999971"/>
    <n v="-0.17987421349772173"/>
    <n v="-6510.1862760000004"/>
    <n v="-807.81100000000004"/>
    <n v="4.3254599999999996"/>
    <n v="7.0753000000000004"/>
    <n v="1.41506"/>
    <n v="0.32714670809578639"/>
    <n v="5"/>
    <n v="55"/>
    <n v="4540"/>
    <n v="589"/>
    <n v="0"/>
    <n v="81.843447999999995"/>
    <n v="47.825735999999999"/>
    <n v="30000"/>
    <n v="0"/>
  </r>
  <r>
    <x v="58"/>
    <n v="4.5815538998710004"/>
    <n v="2.094728391731"/>
    <n v="1.34453600578"/>
    <n v="1.1422895023599999"/>
    <n v="1.0794053048200001"/>
    <n v="3.5021485950510005"/>
    <n v="0.2355980805661573"/>
    <n v="4.5088193079909997"/>
    <n v="1.1458858151999998"/>
    <n v="0.34073995743787205"/>
    <n v="13712.330993"/>
    <n v="-2140.5994999999998"/>
    <n v="4.6139999999999999"/>
    <n v="7.5477999999999996"/>
    <n v="1.50956"/>
    <n v="0.32716948417858693"/>
    <n v="5"/>
    <n v="42"/>
    <n v="4580"/>
    <n v="619"/>
    <n v="2"/>
    <n v="118.87664100000001"/>
    <n v="76.420810000000003"/>
    <n v="30000"/>
    <n v="0"/>
  </r>
  <r>
    <x v="59"/>
    <n v="4.6138601883110004"/>
    <n v="2.1187414100309998"/>
    <n v="1.2710023607600001"/>
    <n v="1.2241164175200001"/>
    <n v="1.15952797156"/>
    <n v="3.4543322167510002"/>
    <n v="0.25131406766455777"/>
    <n v="4.6111152629910004"/>
    <n v="0.10229595500000066"/>
    <n v="2.268796951314973E-2"/>
    <n v="1764.4093809999999"/>
    <n v="-619.26400000000001"/>
    <n v="5.1818400000000002"/>
    <n v="9.2052999999999994"/>
    <n v="1.8410599999999999"/>
    <n v="0.35529078474055542"/>
    <n v="5"/>
    <n v="47"/>
    <n v="4624"/>
    <n v="647"/>
    <n v="3"/>
    <n v="151.324881"/>
    <n v="99.431780000000003"/>
    <n v="30000"/>
    <n v="0"/>
  </r>
  <r>
    <x v="60"/>
    <n v="4.9191940670110004"/>
    <n v="2.218341529271"/>
    <n v="1.1592414954800001"/>
    <n v="1.54161104226"/>
    <n v="1.47580794036"/>
    <n v="3.4433861266510002"/>
    <n v="0.30001010739889961"/>
    <n v="5.0852452897909997"/>
    <n v="0.47413002679999927"/>
    <n v="0.10282328672314618"/>
    <n v="5316.4115350000002"/>
    <n v="-417.21050000000002"/>
    <n v="5.2473599999999996"/>
    <n v="8.4529999999999994"/>
    <n v="1.6906000000000001"/>
    <n v="0.32218105866569097"/>
    <n v="5"/>
    <n v="47"/>
    <n v="4671"/>
    <n v="640"/>
    <n v="0"/>
    <n v="135.852867"/>
    <n v="90.179260999999997"/>
    <n v="30000"/>
    <n v="0"/>
  </r>
  <r>
    <x v="61"/>
    <n v="5.216906785071"/>
    <n v="2.2377263786110002"/>
    <n v="1.30359247702"/>
    <n v="1.67558792944"/>
    <n v="1.6209789646999999"/>
    <n v="3.5959278203710001"/>
    <n v="0.31071648995889412"/>
    <n v="5.1726951390910001"/>
    <n v="8.7449849300000437E-2"/>
    <n v="1.7196780944974746E-2"/>
    <n v="842.83644600000105"/>
    <n v="176.4325"/>
    <n v="5.1045400000000001"/>
    <n v="7.1761999999999997"/>
    <n v="1.4352400000000001"/>
    <n v="0.28116931202419809"/>
    <n v="5"/>
    <n v="36"/>
    <n v="4706"/>
    <n v="632"/>
    <n v="1"/>
    <n v="127.96410299999999"/>
    <n v="86.046233999999998"/>
    <n v="30000"/>
    <n v="0"/>
  </r>
  <r>
    <x v="62"/>
    <n v="4.7378539921660003"/>
    <n v="2.2270297497159999"/>
    <n v="1.2915253485"/>
    <n v="1.21929889395"/>
    <n v="1.1648397726249999"/>
    <n v="3.5730142195410002"/>
    <n v="0.24585809831857466"/>
    <n v="4.9137850160910004"/>
    <n v="-0.25891012299999971"/>
    <n v="-5.00532345398376E-2"/>
    <n v="-1834.9319539999999"/>
    <n v="-674.01199999999994"/>
    <n v="5.0668749999999996"/>
    <n v="5.3834"/>
    <n v="1.34585"/>
    <n v="0.26561736770691996"/>
    <n v="4"/>
    <n v="35"/>
    <n v="4741"/>
    <n v="608"/>
    <n v="0"/>
    <n v="90.878125999999995"/>
    <n v="61.891717999999997"/>
    <n v="30000"/>
    <n v="0"/>
  </r>
  <r>
    <x v="63"/>
    <n v="5.0323596856509996"/>
    <n v="2.3420900852509998"/>
    <n v="1.20115701362"/>
    <n v="1.4891125867799999"/>
    <n v="1.4341730184799999"/>
    <n v="3.5981866671709994"/>
    <n v="0.28499016526368809"/>
    <n v="5.0523359115910003"/>
    <n v="0.13855089549999988"/>
    <n v="2.8196368999924112E-2"/>
    <n v="7934.5214159999996"/>
    <n v="-6408.4165000000003"/>
    <n v="4.7409400000000002"/>
    <n v="11.0588"/>
    <n v="2.2117599999999999"/>
    <n v="0.46652351643344986"/>
    <n v="5"/>
    <n v="64"/>
    <n v="4803"/>
    <n v="639"/>
    <n v="2"/>
    <n v="138.43391099999999"/>
    <n v="87.673918999999998"/>
    <n v="30000"/>
    <n v="0"/>
  </r>
  <r>
    <x v="64"/>
    <n v="4.9749451938109992"/>
    <n v="2.2768391647510002"/>
    <n v="1.2643995190600001"/>
    <n v="1.4337065099999999"/>
    <n v="1.3794533934000002"/>
    <n v="3.5954918004109988"/>
    <n v="0.2772801186063491"/>
    <n v="4.778606397291"/>
    <n v="-0.27372951430000025"/>
    <n v="-5.4178803446543161E-2"/>
    <n v="-2778.616164999999"/>
    <n v="160.93100000000001"/>
    <n v="5.2507599999999996"/>
    <n v="8.6731999999999996"/>
    <n v="1.73464"/>
    <n v="0.33035979553436073"/>
    <n v="5"/>
    <n v="49"/>
    <n v="4848"/>
    <n v="622"/>
    <n v="4"/>
    <n v="100.185328"/>
    <n v="61.323880000000003"/>
    <n v="30000"/>
    <n v="0"/>
  </r>
  <r>
    <x v="65"/>
    <n v="5.1863359445109998"/>
    <n v="2.2278713659509997"/>
    <n v="1.3133405983599999"/>
    <n v="1.6451239801999999"/>
    <n v="1.5950960628399999"/>
    <n v="3.5912398816710001"/>
    <n v="0.30755741238247064"/>
    <n v="6.5510812413909996"/>
    <n v="1.7724748440999996"/>
    <n v="0.37091877772247961"/>
    <n v="17744.452119999998"/>
    <n v="81.055999999999997"/>
    <n v="5.2709400000000004"/>
    <n v="11.754300000000001"/>
    <n v="2.3508599999999999"/>
    <n v="0.44600393857642084"/>
    <n v="5"/>
    <n v="76"/>
    <n v="4924"/>
    <n v="630"/>
    <n v="0"/>
    <n v="108.007279"/>
    <n v="61.435685999999997"/>
    <n v="30000"/>
    <n v="0"/>
  </r>
  <r>
    <x v="66"/>
    <n v="6.4051645176909995"/>
    <n v="2.2097282281580002"/>
    <n v="1.2872222839329999"/>
    <n v="2.9082140056000001"/>
    <n v="2.8638968551999997"/>
    <n v="3.5412676624909998"/>
    <n v="0.44712307502640186"/>
    <n v="4.9823682416909998"/>
    <n v="-1.5687129996999998"/>
    <n v="-0.23945863925310029"/>
    <n v="-14516.735519"/>
    <n v="-1134.472"/>
    <n v="4.9071666700000005"/>
    <n v="4.2393000000000001"/>
    <n v="1.4131"/>
    <n v="0.28796657929696934"/>
    <n v="3"/>
    <n v="35"/>
    <n v="4958"/>
    <n v="570"/>
    <n v="1"/>
    <n v="39.988428000000006"/>
    <n v="22.348926000000002"/>
    <n v="30000"/>
    <n v="0"/>
  </r>
  <r>
    <x v="67"/>
    <n v="5.2645580318660006"/>
    <n v="2.2977533159909997"/>
    <n v="1.3689376658750001"/>
    <n v="1.5978670500000001"/>
    <n v="1.5524093705250002"/>
    <n v="3.7121486613410006"/>
    <n v="0.29487933481374412"/>
    <n v="5.9145638711909996"/>
    <n v="0.93219562949999979"/>
    <n v="0.18709890242548904"/>
    <n v="8412.0852059999979"/>
    <n v="972.96400000000006"/>
    <n v="4.902825"/>
    <n v="4.9006999999999996"/>
    <n v="1.2251749999999999"/>
    <n v="0.2498916441031446"/>
    <n v="4"/>
    <n v="39"/>
    <n v="4996"/>
    <n v="574"/>
    <n v="1"/>
    <n v="53.639710999999998"/>
    <n v="32.136994000000001"/>
    <n v="30000"/>
    <n v="0"/>
  </r>
  <r>
    <x v="68"/>
    <n v="5.646427200370999"/>
    <n v="2.3425732567509998"/>
    <n v="1.40487758314"/>
    <n v="1.8989763604800003"/>
    <n v="1.85134133402"/>
    <n v="3.7950858663509992"/>
    <n v="0.32787836773993251"/>
    <n v="5.3875493447910001"/>
    <n v="-0.52701452639999946"/>
    <n v="-8.9104545639791352E-2"/>
    <n v="-10051.162824999999"/>
    <n v="4918.3074999999999"/>
    <n v="4.7809800000000005"/>
    <n v="10.2866"/>
    <n v="2.0573199999999998"/>
    <n v="0.43031345038046587"/>
    <n v="5"/>
    <n v="53"/>
    <n v="5048"/>
    <n v="643"/>
    <n v="1"/>
    <n v="113.84283899999998"/>
    <n v="67.228931000000003"/>
    <n v="30000"/>
    <n v="0"/>
  </r>
  <r>
    <x v="69"/>
    <n v="5.3034047713510004"/>
    <n v="2.3515332394709998"/>
    <n v="1.51546012898"/>
    <n v="1.4364114028999999"/>
    <n v="1.3930562206400001"/>
    <n v="3.9103485507110003"/>
    <n v="0.26267205327515103"/>
    <n v="5.3118631776909995"/>
    <n v="-7.5686167100000645E-2"/>
    <n v="-1.404834782129253E-2"/>
    <n v="-277.29311899999976"/>
    <n v="-373.53199999999998"/>
    <n v="4.84762"/>
    <n v="8.6583000000000006"/>
    <n v="1.7316600000000002"/>
    <n v="0.35721859386668103"/>
    <n v="5"/>
    <n v="60"/>
    <n v="5104"/>
    <n v="635"/>
    <n v="4"/>
    <n v="97.226051999999996"/>
    <n v="57.326232999999995"/>
    <n v="30000"/>
    <n v="0"/>
  </r>
  <r>
    <x v="70"/>
    <n v="5.3083328757909998"/>
    <n v="2.3404322568309999"/>
    <n v="1.4945832311199998"/>
    <n v="1.4733173878400001"/>
    <n v="1.4440075724200001"/>
    <n v="3.8643253033709994"/>
    <n v="0.2720265677017904"/>
    <n v="4.9248833894909998"/>
    <n v="-0.38697978819999967"/>
    <n v="-7.2851987194484727E-2"/>
    <n v="-3465.6787730000019"/>
    <n v="-300.74099999999999"/>
    <n v="5.0868599999999997"/>
    <n v="7.798"/>
    <n v="1.5596000000000001"/>
    <n v="0.30659385160983399"/>
    <n v="5"/>
    <n v="41"/>
    <n v="5144"/>
    <n v="637"/>
    <n v="1"/>
    <n v="127.49595500000001"/>
    <n v="81.617227"/>
    <n v="30000"/>
    <n v="0"/>
  </r>
  <r>
    <x v="71"/>
    <n v="4.8276971993410003"/>
    <n v="2.0943381290660001"/>
    <n v="1.5916988445500002"/>
    <n v="1.1416602257250001"/>
    <n v="1.111480058325"/>
    <n v="3.7162171410160001"/>
    <n v="0.23022986165675871"/>
    <n v="4.8301851227910007"/>
    <n v="-9.4698266699999145E-2"/>
    <n v="-1.9228529735764256E-2"/>
    <n v="-335.56511599999965"/>
    <n v="-526.16300000000001"/>
    <n v="5.0316999999999998"/>
    <n v="5.4352"/>
    <n v="1.3588"/>
    <n v="0.27004789633722204"/>
    <n v="4"/>
    <n v="32"/>
    <n v="5174"/>
    <n v="598"/>
    <n v="2"/>
    <n v="93.020500999999996"/>
    <n v="60.221168999999996"/>
    <n v="30000"/>
    <n v="0"/>
  </r>
  <r>
    <x v="72"/>
    <n v="4.8594316590910003"/>
    <n v="2.070127741551"/>
    <n v="1.4955001665599998"/>
    <n v="1.29380375098"/>
    <n v="1.26321407116"/>
    <n v="3.5962175879310001"/>
    <n v="0.25995099011152578"/>
    <n v="5.0574199749910003"/>
    <n v="0.22723485219999962"/>
    <n v="4.7044750133447825E-2"/>
    <n v="-727.89750000000004"/>
    <n v="3171.1559999999999"/>
    <n v="4.6782000000000004"/>
    <n v="7.3315999999999999"/>
    <n v="1.4663200000000001"/>
    <n v="0.31343679192851953"/>
    <n v="5"/>
    <n v="44"/>
    <n v="5216"/>
    <n v="625"/>
    <n v="2"/>
    <n v="84.607028"/>
    <n v="50.264403999999999"/>
    <n v="30000"/>
    <n v="0"/>
  </r>
  <r>
    <x v="73"/>
    <n v="4.8539346042110001"/>
    <n v="2.0842187551710003"/>
    <n v="1.48705975734"/>
    <n v="1.2826560917000001"/>
    <n v="1.2519909709399999"/>
    <n v="3.6019436332710004"/>
    <n v="0.25793321769391847"/>
    <n v="4.9091665314910005"/>
    <n v="-0.1482534434999998"/>
    <n v="-2.9314046338471945E-2"/>
    <n v="-2969.052858"/>
    <n v="1513.1057000000001"/>
    <n v="4.7560400000000005"/>
    <n v="8.3516999999999992"/>
    <n v="1.6703399999999999"/>
    <n v="0.35120394277592276"/>
    <n v="5"/>
    <n v="32"/>
    <n v="5247"/>
    <n v="621"/>
    <n v="1"/>
    <n v="83.800577000000004"/>
    <n v="47.648414000000002"/>
    <n v="30000"/>
    <n v="0"/>
  </r>
  <r>
    <x v="74"/>
    <n v="4.8527185023710002"/>
    <n v="2.0562788584310003"/>
    <n v="1.51776932594"/>
    <n v="1.2786703180000001"/>
    <n v="1.2480813279799998"/>
    <n v="3.6046371743910006"/>
    <n v="0.25719219595577142"/>
    <n v="4.8892771882909996"/>
    <n v="-1.9889343200000908E-2"/>
    <n v="-4.0514704629423448E-3"/>
    <n v="1826.052426999998"/>
    <n v="-1953.261"/>
    <n v="4.8597999999999999"/>
    <n v="7.2325999999999997"/>
    <n v="1.44652"/>
    <n v="0.29765010905798595"/>
    <n v="5"/>
    <n v="29"/>
    <n v="5275"/>
    <n v="607"/>
    <n v="1"/>
    <n v="65.639809"/>
    <n v="35.587315000000004"/>
    <n v="30000"/>
    <n v="0"/>
  </r>
  <r>
    <x v="75"/>
    <n v="4.5086022816310001"/>
    <n v="2.0072780881709997"/>
    <n v="1.5294624481200001"/>
    <n v="0.97186174534000003"/>
    <n v="0.93994833844000003"/>
    <n v="3.5686539431910003"/>
    <n v="0.20847887653997527"/>
    <n v="4.5239444544910006"/>
    <n v="-0.36533273379999898"/>
    <n v="-7.4721215372061486E-2"/>
    <n v="-3689.9969560000004"/>
    <n v="129.7945"/>
    <n v="4.5998800000000006"/>
    <n v="6.1776"/>
    <n v="1.23552"/>
    <n v="0.26859831126029371"/>
    <n v="5"/>
    <n v="45"/>
    <n v="5319"/>
    <n v="615"/>
    <n v="1"/>
    <n v="79.165481999999997"/>
    <n v="45.684297999999998"/>
    <n v="30000"/>
    <n v="0"/>
  </r>
  <r>
    <x v="76"/>
    <n v="4.4585810242110009"/>
    <n v="1.9545535330309998"/>
    <n v="1.5190207928999999"/>
    <n v="0.98500669827999987"/>
    <n v="0.95216664249999994"/>
    <n v="3.5064143817110009"/>
    <n v="0.21355822341896258"/>
    <n v="4.5605948178910003"/>
    <n v="3.6650363399999719E-2"/>
    <n v="8.101417638675083E-3"/>
    <n v="588.79824300000075"/>
    <n v="-136.00299999999999"/>
    <n v="4.9408799999999999"/>
    <n v="7.4050000000000002"/>
    <n v="1.4810000000000001"/>
    <n v="0.2997441751266981"/>
    <n v="5"/>
    <n v="33"/>
    <n v="5349"/>
    <n v="632"/>
    <n v="3"/>
    <n v="100.36855899999999"/>
    <n v="61.302689000000001"/>
    <n v="30000"/>
    <n v="0"/>
  </r>
  <r>
    <x v="77"/>
    <n v="4.5426344503909997"/>
    <n v="1.9599012427910001"/>
    <n v="1.5089120888800003"/>
    <n v="1.07382111872"/>
    <n v="1.0415778951800001"/>
    <n v="3.5010565552109996"/>
    <n v="0.22928939287429304"/>
    <n v="4.6929575512910002"/>
    <n v="0.13236273339999993"/>
    <n v="2.9023129369166303E-2"/>
    <n v="1372.6418649999976"/>
    <n v="108.2533"/>
    <n v="5.2781400000000005"/>
    <n v="9.7226999999999997"/>
    <n v="1.9445399999999999"/>
    <n v="0.36841387306892198"/>
    <n v="5"/>
    <n v="35"/>
    <n v="5379"/>
    <n v="628"/>
    <n v="5"/>
    <n v="119.32923100000001"/>
    <n v="71.339916000000002"/>
    <n v="30000"/>
    <n v="0"/>
  </r>
  <r>
    <x v="78"/>
    <n v="4.7375392830909995"/>
    <n v="1.9793396365310001"/>
    <n v="1.6657297443600001"/>
    <n v="1.0924699022000002"/>
    <n v="1.06304118404"/>
    <n v="3.6744980990509992"/>
    <n v="0.22438677982769584"/>
    <n v="4.8505254494910002"/>
    <n v="0.15756789819999995"/>
    <n v="3.3575393870045579E-2"/>
    <n v="361.98432899999619"/>
    <n v="1366.9639999999999"/>
    <n v="5.1130399999999998"/>
    <n v="12.6738"/>
    <n v="2.5347599999999999"/>
    <n v="0.49574421479198283"/>
    <n v="5"/>
    <n v="12"/>
    <n v="5389"/>
    <n v="646"/>
    <n v="2"/>
    <n v="195.14899700000001"/>
    <n v="120.45128000000001"/>
    <n v="30000"/>
    <n v="0"/>
  </r>
  <r>
    <x v="79"/>
    <n v="4.720205321631"/>
    <n v="1.9430781086309998"/>
    <n v="1.5955013944600001"/>
    <n v="1.1816258185399999"/>
    <n v="1.1504096856000001"/>
    <n v="3.5697956360309999"/>
    <n v="0.24372026367753263"/>
    <n v="4.5937399279909998"/>
    <n v="-0.25678552150000034"/>
    <n v="-5.2939732854498607E-2"/>
    <n v="-294.05440199999958"/>
    <n v="-2065.1725000000001"/>
    <n v="5.6524400000000004"/>
    <n v="11.7546"/>
    <n v="2.3509199999999999"/>
    <n v="0.41591242012299107"/>
    <n v="5"/>
    <n v="8"/>
    <n v="5394"/>
    <n v="598"/>
    <n v="3"/>
    <n v="155.76466299999998"/>
    <n v="87.371231999999992"/>
    <n v="30000"/>
    <n v="0"/>
  </r>
  <r>
    <x v="80"/>
    <n v="4.7826726728310005"/>
    <n v="1.873207754971"/>
    <n v="1.63275242126"/>
    <n v="1.2767124965999999"/>
    <n v="1.2462510870000001"/>
    <n v="3.5364215858310004"/>
    <n v="0.26057628699526042"/>
    <n v="4.6482953787910004"/>
    <n v="5.4555450800000571E-2"/>
    <n v="1.1876042539452063E-2"/>
    <n v="888.40323799999953"/>
    <n v="-203.6335"/>
    <n v="5.5600199999999997"/>
    <n v="7.1380999999999997"/>
    <n v="1.4276199999999999"/>
    <n v="0.25676526343430417"/>
    <n v="5"/>
    <n v="3"/>
    <n v="5394"/>
    <n v="532"/>
    <n v="3"/>
    <n v="69.210580000000007"/>
    <n v="33.440027000000001"/>
    <n v="30000"/>
    <n v="0"/>
  </r>
  <r>
    <x v="81"/>
    <n v="4.7728395051709995"/>
    <n v="1.839438316491"/>
    <n v="1.39399956942"/>
    <n v="1.53940161926"/>
    <n v="1.5111203846200001"/>
    <n v="3.2617191205509997"/>
    <n v="0.31660825447468305"/>
    <n v="4.5154871580909992"/>
    <n v="-0.1328082207000012"/>
    <n v="-2.8571381523207758E-2"/>
    <n v="-839.52102700000103"/>
    <n v="-405.13499999999999"/>
    <n v="5.1483800000000004"/>
    <n v="6.2831999999999999"/>
    <n v="1.25664"/>
    <n v="0.24408454698371135"/>
    <n v="5"/>
    <n v="7"/>
    <n v="5399"/>
    <n v="503"/>
    <n v="2"/>
    <n v="62.595880000000008"/>
    <n v="29.490962"/>
    <n v="30000"/>
    <n v="0"/>
  </r>
  <r>
    <x v="82"/>
    <n v="4.6830676236110005"/>
    <n v="1.8102922228310003"/>
    <n v="1.3242846983200001"/>
    <n v="1.5484907024599999"/>
    <n v="1.52372590696"/>
    <n v="3.1593417166510003"/>
    <n v="0.32536918734158521"/>
    <n v="4.3244969518910006"/>
    <n v="-0.19099020619999862"/>
    <n v="-4.2296700115241399E-2"/>
    <n v="-3240.4522400000037"/>
    <n v="1434.818"/>
    <n v="4.9699400000000002"/>
    <n v="10.807700000000001"/>
    <n v="2.16154"/>
    <n v="0.43492275560670751"/>
    <n v="5"/>
    <n v="4"/>
    <n v="5400"/>
    <n v="482"/>
    <n v="3"/>
    <n v="66.891171999999997"/>
    <n v="23.288812"/>
    <n v="30000"/>
    <n v="0"/>
  </r>
  <r>
    <x v="83"/>
    <n v="4.2895200613709994"/>
    <n v="1.7932278356310003"/>
    <n v="1.28985823424"/>
    <n v="1.2064339915"/>
    <n v="1.1840903619200001"/>
    <n v="3.1054296994509993"/>
    <n v="0.27604262131403712"/>
    <n v="3.902073281891"/>
    <n v="-0.42242367000000058"/>
    <n v="-9.7681574226866935E-2"/>
    <n v="-2650.1539450000005"/>
    <n v="-1658.854"/>
    <n v="4.8121800000000006"/>
    <n v="7.9828999999999999"/>
    <n v="1.5965799999999999"/>
    <n v="0.33177894426226778"/>
    <n v="5"/>
    <n v="9"/>
    <n v="5405"/>
    <n v="459"/>
    <n v="4"/>
    <n v="51.609404999999995"/>
    <n v="16.330598999999999"/>
    <n v="300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8" minRefreshableVersion="3" createdVersion="7" useAutoFormatting="1" rowGrandTotals="0" colGrandTotals="0" indent="0" outline="1" outlineData="1" showDrill="1" multipleFieldFilters="0" rowHeaderCaption="月份">
  <location ref="A71:D83" firstHeaderRow="0" firstDataRow="1" firstDataCol="1"/>
  <pivotFields count="26">
    <pivotField axis="axisRow" showAll="0">
      <items count="8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9" showAll="0"/>
    <pivotField numFmtId="1" showAll="0"/>
    <pivotField numFmtId="1" showAll="0"/>
    <pivotField numFmtId="176" showAll="0"/>
    <pivotField numFmtId="1" showAll="0"/>
    <pivotField numFmtId="1" showAll="0"/>
    <pivotField dataField="1" numFmtId="2" showAll="0"/>
    <pivotField numFmtId="2" showAll="0"/>
    <pivotField dataField="1" numFmtId="2" showAll="0"/>
    <pivotField dataField="1" numFmtId="9" showAll="0"/>
    <pivotField showAll="0"/>
    <pivotField numFmtId="1" showAll="0"/>
    <pivotField showAll="0"/>
    <pivotField showAll="0"/>
    <pivotField showAll="0"/>
    <pivotField numFmtId="178" showAll="0"/>
    <pivotField numFmtId="178" showAll="0"/>
    <pivotField showAll="0"/>
    <pivotField showAll="0"/>
  </pivotFields>
  <rowFields count="1">
    <field x="0"/>
  </rowFields>
  <rowItems count="12"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</rowItems>
  <colFields count="1">
    <field x="-2"/>
  </colFields>
  <colItems count="3">
    <i>
      <x/>
    </i>
    <i i="1">
      <x v="1"/>
    </i>
    <i i="2">
      <x v="2"/>
    </i>
  </colItems>
  <dataFields count="3">
    <dataField name=" 日均成交量（万手）" fld="15" baseField="0" baseItem="0" numFmtId="2"/>
    <dataField name=" 日均持仓量（万手）" fld="13" baseField="0" baseItem="0" numFmtId="2"/>
    <dataField name=" 成交持仓比" fld="16" baseField="0" baseItem="0" numFmtId="9"/>
  </dataFields>
  <formats count="3">
    <format dxfId="0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8" minRefreshableVersion="3" createdVersion="7" useAutoFormatting="1" rowGrandTotals="0" colGrandTotals="0" indent="0" outline="1" outlineData="1" showDrill="1" multipleFieldFilters="0" rowHeaderCaption="月份">
  <location ref="A96:D108" firstHeaderRow="0" firstDataRow="1" firstDataCol="1"/>
  <pivotFields count="26">
    <pivotField axis="axisRow" showAll="0">
      <items count="8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9" showAll="0"/>
    <pivotField numFmtId="1" showAll="0"/>
    <pivotField numFmtId="1" showAll="0"/>
    <pivotField numFmtId="176" showAll="0"/>
    <pivotField numFmtId="1" showAll="0"/>
    <pivotField numFmtId="1" showAll="0"/>
    <pivotField numFmtId="2" showAll="0"/>
    <pivotField numFmtId="2" showAll="0"/>
    <pivotField numFmtId="2" showAll="0"/>
    <pivotField numFmtId="9" showAll="0"/>
    <pivotField showAll="0"/>
    <pivotField dataField="1" numFmtId="1" showAll="0"/>
    <pivotField dataField="1" showAll="0"/>
    <pivotField dataField="1" showAll="0"/>
    <pivotField showAll="0"/>
    <pivotField numFmtId="178" showAll="0"/>
    <pivotField numFmtId="178" showAll="0"/>
    <pivotField showAll="0"/>
    <pivotField showAll="0"/>
  </pivotFields>
  <rowFields count="1">
    <field x="0"/>
  </rowFields>
  <rowItems count="12"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</rowItems>
  <colFields count="1">
    <field x="-2"/>
  </colFields>
  <colItems count="3">
    <i>
      <x/>
    </i>
    <i i="1">
      <x v="1"/>
    </i>
    <i i="2">
      <x v="2"/>
    </i>
  </colItems>
  <dataFields count="3">
    <dataField name=" 开户数" fld="18" baseField="0" baseItem="0"/>
    <dataField name=" 客户总数" fld="19" baseField="0" baseItem="0"/>
    <dataField name=" 交易客户数" fld="20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8" minRefreshableVersion="3" createdVersion="7" useAutoFormatting="1" rowGrandTotals="0" colGrandTotals="0" indent="0" outline="1" outlineData="1" showDrill="1" multipleFieldFilters="0" rowHeaderCaption="月份" chartFormat="90">
  <location ref="A48:F60" firstHeaderRow="0" firstDataRow="1" firstDataCol="1"/>
  <pivotFields count="26">
    <pivotField axis="axisRow" showAll="0">
      <items count="8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9" showAll="0"/>
    <pivotField dataField="1" numFmtId="1" showAll="0"/>
    <pivotField numFmtId="1" showAll="0"/>
    <pivotField numFmtId="176" showAll="0"/>
    <pivotField dataField="1" numFmtId="1" showAll="0"/>
    <pivotField dataField="1" numFmtId="1" showAll="0"/>
    <pivotField numFmtId="2" showAll="0"/>
    <pivotField numFmtId="2" showAll="0"/>
    <pivotField numFmtId="2" showAll="0"/>
    <pivotField numFmtId="9" showAll="0"/>
    <pivotField showAll="0"/>
    <pivotField numFmtId="1" showAll="0"/>
    <pivotField showAll="0"/>
    <pivotField showAll="0"/>
    <pivotField showAll="0"/>
    <pivotField numFmtId="178" showAll="0"/>
    <pivotField numFmtId="178" showAll="0"/>
    <pivotField dataField="1" showAll="0"/>
    <pivotField dataField="1" showAll="0"/>
  </pivotFields>
  <rowFields count="1">
    <field x="0"/>
  </rowFields>
  <rowItems count="12"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期末权益(亿元）" fld="8" baseField="0" baseItem="0" numFmtId="43"/>
    <dataField name=" 净入金（万元）" fld="11" baseField="0" baseItem="0"/>
    <dataField name=" 盈亏（万元）" fld="12" baseField="0" baseItem="0"/>
    <dataField name=" 辅助列1" fld="24" baseField="0" baseItem="0"/>
    <dataField name=" 辅助列2" fld="25" baseField="0" baseItem="0"/>
  </dataFields>
  <formats count="2">
    <format dxfId="4">
      <pivotArea outline="0" collapsedLevelsAreSubtotals="1" fieldPosition="0"/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8" minRefreshableVersion="3" createdVersion="7" rowGrandTotals="0" colGrandTotals="0" indent="0" outline="1" outlineData="1" showDrill="1" multipleFieldFilters="0" rowHeaderCaption="月份" chartFormat="101">
  <location ref="A2:E14" firstHeaderRow="0" firstDataRow="1" firstDataCol="1"/>
  <pivotFields count="26">
    <pivotField axis="axisRow" showAll="0">
      <items count="8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dataField="1" numFmtId="1"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9" showAll="0"/>
    <pivotField numFmtId="1" showAll="0"/>
    <pivotField numFmtId="1" showAll="0"/>
    <pivotField numFmtId="176" showAll="0"/>
    <pivotField numFmtId="1" showAll="0"/>
    <pivotField numFmtId="1" showAll="0"/>
    <pivotField numFmtId="2" showAll="0"/>
    <pivotField numFmtId="2" showAll="0"/>
    <pivotField numFmtId="2" showAll="0"/>
    <pivotField numFmtId="9" showAll="0"/>
    <pivotField showAll="0"/>
    <pivotField numFmtId="1" showAll="0"/>
    <pivotField showAll="0"/>
    <pivotField showAll="0"/>
    <pivotField showAll="0"/>
    <pivotField numFmtId="178" showAll="0"/>
    <pivotField numFmtId="178" showAll="0"/>
    <pivotField showAll="0"/>
    <pivotField showAll="0"/>
  </pivotFields>
  <rowFields count="1">
    <field x="0"/>
  </rowFields>
  <rowItems count="12"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全部" fld="1" baseField="0" baseItem="0"/>
    <dataField name="机构" fld="2" baseField="0" baseItem="0"/>
    <dataField name="个人" fld="3" baseField="0" baseItem="0"/>
    <dataField name="产业" fld="4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8" minRefreshableVersion="3" createdVersion="7" useAutoFormatting="1" rowGrandTotals="0" colGrandTotals="0" indent="0" outline="1" outlineData="1" showDrill="1" multipleFieldFilters="0" rowHeaderCaption="月份" chartFormat="100">
  <location ref="A120:C132" firstHeaderRow="0" firstDataRow="1" firstDataCol="1"/>
  <pivotFields count="26">
    <pivotField axis="axisRow" showAll="0">
      <items count="8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9" showAll="0"/>
    <pivotField numFmtId="1" showAll="0"/>
    <pivotField numFmtId="1" showAll="0"/>
    <pivotField numFmtId="176" showAll="0"/>
    <pivotField numFmtId="1" showAll="0"/>
    <pivotField numFmtId="1" showAll="0"/>
    <pivotField numFmtId="2" showAll="0"/>
    <pivotField numFmtId="2" showAll="0"/>
    <pivotField numFmtId="2" showAll="0"/>
    <pivotField numFmtId="9" showAll="0"/>
    <pivotField showAll="0"/>
    <pivotField numFmtId="1" showAll="0"/>
    <pivotField showAll="0"/>
    <pivotField showAll="0"/>
    <pivotField showAll="0"/>
    <pivotField dataField="1" numFmtId="178" showAll="0"/>
    <pivotField dataField="1" numFmtId="178" showAll="0"/>
    <pivotField showAll="0"/>
    <pivotField showAll="0"/>
  </pivotFields>
  <rowFields count="1">
    <field x="0"/>
  </rowFields>
  <rowItems count="12"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</rowItems>
  <colFields count="1">
    <field x="-2"/>
  </colFields>
  <colItems count="2">
    <i>
      <x/>
    </i>
    <i i="1">
      <x v="1"/>
    </i>
  </colItems>
  <dataFields count="2">
    <dataField name=" 手续费（万元）" fld="22" baseField="0" baseItem="0"/>
    <dataField name=" 留存手续费（万元）" fld="23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8" minRefreshableVersion="3" createdVersion="7" useAutoFormatting="1" rowGrandTotals="0" colGrandTotals="0" indent="0" outline="1" outlineData="1" showDrill="1" multipleFieldFilters="0" rowHeaderCaption="月份" chartFormat="102">
  <location ref="A27:D39" firstHeaderRow="0" firstDataRow="1" firstDataCol="1"/>
  <pivotFields count="26">
    <pivotField axis="axisRow" showAll="0">
      <items count="8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dataField="1"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numFmtId="9" showAll="0"/>
    <pivotField numFmtId="1" showAll="0"/>
    <pivotField numFmtId="1" showAll="0"/>
    <pivotField numFmtId="176" showAll="0"/>
    <pivotField numFmtId="1" showAll="0"/>
    <pivotField numFmtId="1" showAll="0"/>
    <pivotField numFmtId="2" showAll="0"/>
    <pivotField numFmtId="2" showAll="0"/>
    <pivotField numFmtId="2" showAll="0"/>
    <pivotField numFmtId="9" showAll="0"/>
    <pivotField showAll="0"/>
    <pivotField numFmtId="1" showAll="0"/>
    <pivotField showAll="0"/>
    <pivotField showAll="0"/>
    <pivotField showAll="0"/>
    <pivotField numFmtId="178" showAll="0"/>
    <pivotField numFmtId="178" showAll="0"/>
    <pivotField showAll="0"/>
    <pivotField showAll="0"/>
  </pivotFields>
  <rowFields count="1">
    <field x="0"/>
  </rowFields>
  <rowItems count="12"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</rowItems>
  <colFields count="1">
    <field x="-2"/>
  </colFields>
  <colItems count="3">
    <i>
      <x/>
    </i>
    <i i="1">
      <x v="1"/>
    </i>
    <i i="2">
      <x v="2"/>
    </i>
  </colItems>
  <dataFields count="3">
    <dataField name=" 全部" fld="1" baseField="0" baseItem="0"/>
    <dataField name="自开发客户" fld="6" baseField="0" baseItem="0"/>
    <dataField name=" 集团客户" fld="5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Z85" totalsRowShown="0">
  <autoFilter xmlns:etc="http://www.wps.cn/officeDocument/2017/etCustomData" ref="A1:Z85" etc:filterBottomFollowUsedRange="0"/>
  <tableColumns count="26">
    <tableColumn id="1" name="月份" dataDxfId="9"/>
    <tableColumn id="2" name="全部" dataDxfId="10"/>
    <tableColumn id="3" name="特殊法人" dataDxfId="11"/>
    <tableColumn id="4" name="自然人" dataDxfId="12"/>
    <tableColumn id="5" name="法人" dataDxfId="13"/>
    <tableColumn id="6" name="集团客户" dataDxfId="14"/>
    <tableColumn id="7" name="非集团客户">
      <calculatedColumnFormula>(B2-F2)</calculatedColumnFormula>
    </tableColumn>
    <tableColumn id="8" name="集团占比" dataDxfId="15">
      <calculatedColumnFormula>F2/B2</calculatedColumnFormula>
    </tableColumn>
    <tableColumn id="9" name="期末权益(万元）" dataDxfId="16"/>
    <tableColumn id="24" name="权益变动(万元）">
      <calculatedColumnFormula>23491.984116-表1[[#This Row],[期末权益(万元）]]</calculatedColumnFormula>
    </tableColumn>
    <tableColumn id="25" name="环比" dataDxfId="17">
      <calculatedColumnFormula>表1[[#This Row],[权益变动(万元）]]/I1</calculatedColumnFormula>
    </tableColumn>
    <tableColumn id="10" name="净入金（万元）" dataDxfId="18"/>
    <tableColumn id="11" name="盈亏（万元）" dataDxfId="19"/>
    <tableColumn id="12" name="日均持仓量（万手）" dataDxfId="20"/>
    <tableColumn id="13" name="成交数量（万手）" dataDxfId="21"/>
    <tableColumn id="14" name="日均成交量（万手）" dataDxfId="22"/>
    <tableColumn id="23" name="成交持仓比">
      <calculatedColumnFormula>表1[[#This Row],[日均成交量（万手）]]/表1[[#This Row],[日均持仓量（万手）]]</calculatedColumnFormula>
    </tableColumn>
    <tableColumn id="15" name="交易日"/>
    <tableColumn id="16" name="开户数" dataDxfId="23"/>
    <tableColumn id="17" name="客户总数" dataDxfId="24">
      <calculatedColumnFormula>1638+S2-V2</calculatedColumnFormula>
    </tableColumn>
    <tableColumn id="18" name="交易客户数"/>
    <tableColumn id="19" name="销户数"/>
    <tableColumn id="20" name="手续费（万元）" dataDxfId="25"/>
    <tableColumn id="21" name="留存手续费（万元）" dataDxfId="26"/>
    <tableColumn id="22" name="辅助列1"/>
    <tableColumn id="26" name="辅助列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7"/>
  <sheetViews>
    <sheetView tabSelected="1" topLeftCell="A16" workbookViewId="0">
      <pane xSplit="1" topLeftCell="J1" activePane="topRight" state="frozen"/>
      <selection/>
      <selection pane="topRight" activeCell="E137" sqref="E137"/>
    </sheetView>
  </sheetViews>
  <sheetFormatPr defaultColWidth="9" defaultRowHeight="14.25"/>
  <cols>
    <col min="1" max="1" width="7.5" customWidth="1"/>
    <col min="2" max="5" width="12.75" customWidth="1"/>
    <col min="6" max="6" width="15.125" customWidth="1"/>
    <col min="7" max="7" width="12.125" customWidth="1"/>
    <col min="8" max="8" width="10.25" customWidth="1"/>
    <col min="9" max="10" width="16.5" customWidth="1"/>
    <col min="11" max="11" width="8.625" style="6" customWidth="1"/>
    <col min="12" max="12" width="14" customWidth="1"/>
    <col min="13" max="13" width="15" customWidth="1"/>
    <col min="14" max="14" width="17.75" customWidth="1"/>
    <col min="15" max="15" width="15.875" customWidth="1"/>
    <col min="16" max="16" width="17.75" customWidth="1"/>
    <col min="17" max="17" width="13" customWidth="1"/>
    <col min="20" max="20" width="10.25" customWidth="1"/>
    <col min="21" max="21" width="12.125" customWidth="1"/>
    <col min="23" max="23" width="15.875" customWidth="1"/>
    <col min="24" max="24" width="19.6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6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s="2" t="s">
        <v>26</v>
      </c>
      <c r="B2" s="15">
        <v>1.96698048815</v>
      </c>
      <c r="C2" s="15">
        <v>0.08417272565</v>
      </c>
      <c r="D2" s="15">
        <v>0.57506993045</v>
      </c>
      <c r="E2" s="15">
        <v>1.30773783205</v>
      </c>
      <c r="F2" s="15">
        <v>1.165450096275</v>
      </c>
      <c r="G2" s="15">
        <f t="shared" ref="G2:G65" si="0">(B2-F2)</f>
        <v>0.801530391875</v>
      </c>
      <c r="H2" s="4">
        <f t="shared" ref="H2:H65" si="1">F2/B2</f>
        <v>0.592507197349547</v>
      </c>
      <c r="I2" s="15">
        <v>1.9486007489</v>
      </c>
      <c r="J2" s="15">
        <v>-0.7480423219</v>
      </c>
      <c r="K2" s="6">
        <v>-0.318424496716104</v>
      </c>
      <c r="L2" s="5">
        <v>919.187948</v>
      </c>
      <c r="M2" s="5">
        <v>-734.2885</v>
      </c>
      <c r="N2" s="7">
        <v>1.018675</v>
      </c>
      <c r="O2" s="7">
        <v>1.9716</v>
      </c>
      <c r="P2" s="7">
        <v>0.4929</v>
      </c>
      <c r="Q2" s="4">
        <f>表1[[#This Row],[日均成交量（万手）]]/表1[[#This Row],[日均持仓量（万手）]]</f>
        <v>0.483863842736889</v>
      </c>
      <c r="R2">
        <v>4</v>
      </c>
      <c r="S2">
        <v>25</v>
      </c>
      <c r="T2" s="5">
        <v>1881</v>
      </c>
      <c r="U2">
        <v>118</v>
      </c>
      <c r="V2">
        <v>0</v>
      </c>
      <c r="W2" s="16">
        <v>28.144415</v>
      </c>
      <c r="X2" s="16">
        <v>7.097382</v>
      </c>
      <c r="Y2">
        <v>20000</v>
      </c>
      <c r="Z2">
        <v>0</v>
      </c>
    </row>
    <row r="3" spans="1:26">
      <c r="A3" s="2" t="s">
        <v>27</v>
      </c>
      <c r="B3" s="15">
        <v>2.52721229012</v>
      </c>
      <c r="C3" s="15">
        <v>0.11630271684</v>
      </c>
      <c r="D3" s="15">
        <v>0.52910688518</v>
      </c>
      <c r="E3" s="15">
        <v>1.8818026881</v>
      </c>
      <c r="F3" s="15">
        <v>1.73951326992</v>
      </c>
      <c r="G3" s="15">
        <f t="shared" si="0"/>
        <v>0.7876990202</v>
      </c>
      <c r="H3" s="4">
        <f t="shared" si="1"/>
        <v>0.688313077900315</v>
      </c>
      <c r="I3" s="15">
        <v>1.9607585138</v>
      </c>
      <c r="J3" s="15">
        <f>表1[[#This Row],[期末权益(万元）]]-I2</f>
        <v>0.0121577649000002</v>
      </c>
      <c r="K3" s="6">
        <f>表1[[#This Row],[权益变动(万元）]]/I2</f>
        <v>0.00623922828053071</v>
      </c>
      <c r="L3" s="5">
        <v>-1034.037134</v>
      </c>
      <c r="M3" s="5">
        <v>1030.742</v>
      </c>
      <c r="N3" s="7">
        <v>1.48138</v>
      </c>
      <c r="O3" s="7">
        <v>3.9447</v>
      </c>
      <c r="P3" s="7">
        <v>0.78894</v>
      </c>
      <c r="Q3" s="4">
        <f>表1[[#This Row],[日均成交量（万手）]]/表1[[#This Row],[日均持仓量（万手）]]</f>
        <v>0.532570981112206</v>
      </c>
      <c r="R3">
        <v>5</v>
      </c>
      <c r="S3">
        <v>28</v>
      </c>
      <c r="T3" s="5">
        <f t="shared" ref="T3:T66" si="2">T2+S3-V3</f>
        <v>1909</v>
      </c>
      <c r="U3">
        <v>127</v>
      </c>
      <c r="V3">
        <v>0</v>
      </c>
      <c r="W3" s="16">
        <v>50.102217</v>
      </c>
      <c r="X3" s="16">
        <v>9.136076</v>
      </c>
      <c r="Y3">
        <v>20000</v>
      </c>
      <c r="Z3">
        <v>0</v>
      </c>
    </row>
    <row r="4" spans="1:26">
      <c r="A4" s="2" t="s">
        <v>28</v>
      </c>
      <c r="B4" s="15">
        <v>1.9980174493</v>
      </c>
      <c r="C4" s="15">
        <v>0.11986177326</v>
      </c>
      <c r="D4" s="15">
        <v>0.55672959264</v>
      </c>
      <c r="E4" s="15">
        <v>1.3214260834</v>
      </c>
      <c r="F4" s="15">
        <v>1.17472906986</v>
      </c>
      <c r="G4" s="15">
        <f t="shared" si="0"/>
        <v>0.82328837944</v>
      </c>
      <c r="H4" s="4">
        <f t="shared" si="1"/>
        <v>0.587947352647777</v>
      </c>
      <c r="I4" s="15">
        <v>2.1169210922</v>
      </c>
      <c r="J4" s="15">
        <f>表1[[#This Row],[期末权益(万元）]]-I3</f>
        <v>0.1561625784</v>
      </c>
      <c r="K4" s="6">
        <f>表1[[#This Row],[权益变动(万元）]]/I3</f>
        <v>0.0796439629362378</v>
      </c>
      <c r="L4" s="5">
        <v>2390.442676</v>
      </c>
      <c r="M4" s="5">
        <v>-726.6099</v>
      </c>
      <c r="N4" s="7">
        <v>1.92398</v>
      </c>
      <c r="O4" s="7">
        <v>4.3072</v>
      </c>
      <c r="P4" s="7">
        <v>0.86144</v>
      </c>
      <c r="Q4" s="4">
        <f>表1[[#This Row],[日均成交量（万手）]]/表1[[#This Row],[日均持仓量（万手）]]</f>
        <v>0.447738541980686</v>
      </c>
      <c r="R4">
        <v>5</v>
      </c>
      <c r="S4">
        <v>18</v>
      </c>
      <c r="T4" s="5">
        <f t="shared" si="2"/>
        <v>1927</v>
      </c>
      <c r="U4">
        <v>138</v>
      </c>
      <c r="V4">
        <v>0</v>
      </c>
      <c r="W4" s="16">
        <v>62.494992</v>
      </c>
      <c r="X4" s="16">
        <v>10.242538</v>
      </c>
      <c r="Y4">
        <v>20000</v>
      </c>
      <c r="Z4">
        <v>0</v>
      </c>
    </row>
    <row r="5" spans="1:26">
      <c r="A5" s="2" t="s">
        <v>29</v>
      </c>
      <c r="B5" s="15">
        <v>2.59741691634</v>
      </c>
      <c r="C5" s="15">
        <v>0.10197174764</v>
      </c>
      <c r="D5" s="15">
        <v>0.55925608388</v>
      </c>
      <c r="E5" s="15">
        <v>1.93618908482</v>
      </c>
      <c r="F5" s="15">
        <v>1.78307958644</v>
      </c>
      <c r="G5" s="15">
        <f t="shared" si="0"/>
        <v>0.8143373299</v>
      </c>
      <c r="H5" s="4">
        <f t="shared" si="1"/>
        <v>0.686481856348469</v>
      </c>
      <c r="I5" s="15">
        <v>3.6498019625</v>
      </c>
      <c r="J5" s="15">
        <f>表1[[#This Row],[期末权益(万元）]]-I4</f>
        <v>1.5328808703</v>
      </c>
      <c r="K5" s="6">
        <f>表1[[#This Row],[权益变动(万元）]]/I4</f>
        <v>0.724108648143782</v>
      </c>
      <c r="L5" s="5">
        <v>15792.660509</v>
      </c>
      <c r="M5" s="5">
        <v>-362.0485</v>
      </c>
      <c r="N5" s="7">
        <v>2.58344</v>
      </c>
      <c r="O5" s="7">
        <v>4.4527</v>
      </c>
      <c r="P5" s="7">
        <v>0.89054</v>
      </c>
      <c r="Q5" s="4">
        <f>表1[[#This Row],[日均成交量（万手）]]/表1[[#This Row],[日均持仓量（万手）]]</f>
        <v>0.344710928064906</v>
      </c>
      <c r="R5">
        <v>5</v>
      </c>
      <c r="S5">
        <v>20</v>
      </c>
      <c r="T5" s="5">
        <f t="shared" si="2"/>
        <v>1947</v>
      </c>
      <c r="U5">
        <v>137</v>
      </c>
      <c r="V5">
        <v>0</v>
      </c>
      <c r="W5" s="16">
        <v>74.903706</v>
      </c>
      <c r="X5" s="16">
        <v>9.925907</v>
      </c>
      <c r="Y5">
        <v>20000</v>
      </c>
      <c r="Z5">
        <v>0</v>
      </c>
    </row>
    <row r="6" spans="1:26">
      <c r="A6" s="2" t="s">
        <v>30</v>
      </c>
      <c r="B6" s="15">
        <v>2.93871153386</v>
      </c>
      <c r="C6" s="15">
        <v>0.1024231235</v>
      </c>
      <c r="D6" s="15">
        <v>0.55923935706</v>
      </c>
      <c r="E6" s="15">
        <v>2.2770490533</v>
      </c>
      <c r="F6" s="15">
        <v>2.12384515094</v>
      </c>
      <c r="G6" s="15">
        <f t="shared" si="0"/>
        <v>0.81486638292</v>
      </c>
      <c r="H6" s="4">
        <f t="shared" si="1"/>
        <v>0.72271304157245</v>
      </c>
      <c r="I6" s="15">
        <v>2.8533230157</v>
      </c>
      <c r="J6" s="15">
        <f>表1[[#This Row],[期末权益(万元）]]-I5</f>
        <v>-0.7964789468</v>
      </c>
      <c r="K6" s="6">
        <f>表1[[#This Row],[权益变动(万元）]]/I5</f>
        <v>-0.218225250296714</v>
      </c>
      <c r="L6" s="5">
        <v>-9101.849039</v>
      </c>
      <c r="M6" s="5">
        <v>1192.5105</v>
      </c>
      <c r="N6" s="7">
        <v>2.57416</v>
      </c>
      <c r="O6" s="7">
        <v>3.8439</v>
      </c>
      <c r="P6" s="7">
        <v>0.76878</v>
      </c>
      <c r="Q6" s="4">
        <f>表1[[#This Row],[日均成交量（万手）]]/表1[[#This Row],[日均持仓量（万手）]]</f>
        <v>0.29865276439693</v>
      </c>
      <c r="R6">
        <v>5</v>
      </c>
      <c r="S6">
        <v>8</v>
      </c>
      <c r="T6" s="5">
        <f t="shared" si="2"/>
        <v>1955</v>
      </c>
      <c r="U6">
        <v>133</v>
      </c>
      <c r="V6">
        <v>0</v>
      </c>
      <c r="W6" s="16">
        <v>71.026929</v>
      </c>
      <c r="X6" s="16">
        <v>8.326094</v>
      </c>
      <c r="Y6">
        <v>20000</v>
      </c>
      <c r="Z6">
        <v>0</v>
      </c>
    </row>
    <row r="7" spans="1:26">
      <c r="A7" s="2" t="s">
        <v>31</v>
      </c>
      <c r="B7" s="15">
        <v>2.880069601525</v>
      </c>
      <c r="C7" s="15">
        <v>0.10294317705</v>
      </c>
      <c r="D7" s="15">
        <v>0.569129910275</v>
      </c>
      <c r="E7" s="15">
        <v>2.2079965142</v>
      </c>
      <c r="F7" s="15">
        <v>2.0547028257</v>
      </c>
      <c r="G7" s="15">
        <f t="shared" si="0"/>
        <v>0.825366775825</v>
      </c>
      <c r="H7" s="4">
        <f t="shared" si="1"/>
        <v>0.713421239754773</v>
      </c>
      <c r="I7" s="15">
        <v>2.9798684124</v>
      </c>
      <c r="J7" s="15">
        <f>表1[[#This Row],[期末权益(万元）]]-I6</f>
        <v>0.1265453967</v>
      </c>
      <c r="K7" s="6">
        <f>表1[[#This Row],[权益变动(万元）]]/I6</f>
        <v>0.0443501825778933</v>
      </c>
      <c r="L7" s="5">
        <v>1532.955711</v>
      </c>
      <c r="M7" s="5">
        <v>-178.253</v>
      </c>
      <c r="N7" s="7">
        <v>2.723125</v>
      </c>
      <c r="O7" s="7">
        <v>2.5818</v>
      </c>
      <c r="P7" s="7">
        <v>0.64545</v>
      </c>
      <c r="Q7" s="4">
        <f>表1[[#This Row],[日均成交量（万手）]]/表1[[#This Row],[日均持仓量（万手）]]</f>
        <v>0.237025476245123</v>
      </c>
      <c r="R7">
        <v>4</v>
      </c>
      <c r="S7">
        <v>3</v>
      </c>
      <c r="T7" s="5">
        <f t="shared" si="2"/>
        <v>1957</v>
      </c>
      <c r="U7">
        <v>116</v>
      </c>
      <c r="V7">
        <v>1</v>
      </c>
      <c r="W7" s="16">
        <v>74.744744</v>
      </c>
      <c r="X7" s="16">
        <v>3.384998</v>
      </c>
      <c r="Y7">
        <v>20000</v>
      </c>
      <c r="Z7">
        <v>0</v>
      </c>
    </row>
    <row r="8" spans="1:26">
      <c r="A8" s="2" t="s">
        <v>32</v>
      </c>
      <c r="B8" s="15">
        <v>2.76226887794</v>
      </c>
      <c r="C8" s="15">
        <v>0.09834562136</v>
      </c>
      <c r="D8" s="15">
        <v>0.63437940124</v>
      </c>
      <c r="E8" s="15">
        <v>2.02954385534</v>
      </c>
      <c r="F8" s="15">
        <v>1.87838300384</v>
      </c>
      <c r="G8" s="15">
        <f t="shared" si="0"/>
        <v>0.8838858741</v>
      </c>
      <c r="H8" s="4">
        <f t="shared" si="1"/>
        <v>0.680014541249449</v>
      </c>
      <c r="I8" s="15">
        <v>2.6330293345</v>
      </c>
      <c r="J8" s="15">
        <f>表1[[#This Row],[期末权益(万元）]]-I7</f>
        <v>-0.3468390779</v>
      </c>
      <c r="K8" s="6">
        <f>表1[[#This Row],[权益变动(万元）]]/I7</f>
        <v>-0.116394091919198</v>
      </c>
      <c r="L8" s="5">
        <v>-3514.87107</v>
      </c>
      <c r="M8" s="5">
        <v>23.9924</v>
      </c>
      <c r="N8" s="7">
        <v>2.8789</v>
      </c>
      <c r="O8" s="7">
        <v>3.5827</v>
      </c>
      <c r="P8" s="7">
        <v>0.71654</v>
      </c>
      <c r="Q8" s="4">
        <f>表1[[#This Row],[日均成交量（万手）]]/表1[[#This Row],[日均持仓量（万手）]]</f>
        <v>0.248893674667408</v>
      </c>
      <c r="R8">
        <v>5</v>
      </c>
      <c r="S8">
        <v>9</v>
      </c>
      <c r="T8" s="5">
        <f t="shared" si="2"/>
        <v>1966</v>
      </c>
      <c r="U8">
        <v>126</v>
      </c>
      <c r="V8">
        <v>0</v>
      </c>
      <c r="W8" s="16">
        <v>41.986109</v>
      </c>
      <c r="X8" s="16">
        <v>5.515046</v>
      </c>
      <c r="Y8">
        <v>20000</v>
      </c>
      <c r="Z8">
        <v>0</v>
      </c>
    </row>
    <row r="9" spans="1:26">
      <c r="A9" s="2" t="s">
        <v>33</v>
      </c>
      <c r="B9" s="15">
        <v>2.95088318248</v>
      </c>
      <c r="C9" s="15">
        <v>0.09889756714</v>
      </c>
      <c r="D9" s="15">
        <v>0.63459445706</v>
      </c>
      <c r="E9" s="15">
        <v>2.21739115828</v>
      </c>
      <c r="F9" s="15">
        <v>2.07443966432</v>
      </c>
      <c r="G9" s="15">
        <f t="shared" si="0"/>
        <v>0.87644351816</v>
      </c>
      <c r="H9" s="4">
        <f t="shared" si="1"/>
        <v>0.70298942250116</v>
      </c>
      <c r="I9" s="15">
        <v>2.7280140291</v>
      </c>
      <c r="J9" s="15">
        <f>表1[[#This Row],[期末权益(万元）]]-I8</f>
        <v>0.0949846945999999</v>
      </c>
      <c r="K9" s="6">
        <f>表1[[#This Row],[权益变动(万元）]]/I8</f>
        <v>0.0360743017008723</v>
      </c>
      <c r="L9" s="5">
        <v>-970.644643999997</v>
      </c>
      <c r="M9" s="5">
        <v>1869.7075</v>
      </c>
      <c r="N9" s="7">
        <v>2.39316</v>
      </c>
      <c r="O9" s="7">
        <v>4.0746</v>
      </c>
      <c r="P9" s="7">
        <v>0.81492</v>
      </c>
      <c r="Q9" s="4">
        <f>表1[[#This Row],[日均成交量（万手）]]/表1[[#This Row],[日均持仓量（万手）]]</f>
        <v>0.340520483377626</v>
      </c>
      <c r="R9">
        <v>5</v>
      </c>
      <c r="S9">
        <v>15</v>
      </c>
      <c r="T9" s="5">
        <f t="shared" si="2"/>
        <v>1981</v>
      </c>
      <c r="U9">
        <v>134</v>
      </c>
      <c r="V9">
        <v>0</v>
      </c>
      <c r="W9" s="16">
        <v>62.30441</v>
      </c>
      <c r="X9" s="16">
        <v>6.392509</v>
      </c>
      <c r="Y9">
        <v>20000</v>
      </c>
      <c r="Z9">
        <v>0</v>
      </c>
    </row>
    <row r="10" spans="1:26">
      <c r="A10" s="2" t="s">
        <v>34</v>
      </c>
      <c r="B10" s="15">
        <v>2.73176466906</v>
      </c>
      <c r="C10" s="15">
        <v>0.09902213792</v>
      </c>
      <c r="D10" s="15">
        <v>0.66054610232</v>
      </c>
      <c r="E10" s="15">
        <v>1.97219642882</v>
      </c>
      <c r="F10" s="15">
        <v>1.8292062006</v>
      </c>
      <c r="G10" s="15">
        <f t="shared" si="0"/>
        <v>0.90255846846</v>
      </c>
      <c r="H10" s="4">
        <f t="shared" si="1"/>
        <v>0.669606068677003</v>
      </c>
      <c r="I10" s="15">
        <v>2.7363295923</v>
      </c>
      <c r="J10" s="15">
        <f>表1[[#This Row],[期末权益(万元）]]-I9</f>
        <v>0.00831556320000004</v>
      </c>
      <c r="K10" s="6">
        <f>表1[[#This Row],[权益变动(万元）]]/I9</f>
        <v>0.00304821130364327</v>
      </c>
      <c r="L10" s="5">
        <v>-262.757587</v>
      </c>
      <c r="M10" s="5">
        <v>388.8755</v>
      </c>
      <c r="N10" s="7">
        <v>2.3235</v>
      </c>
      <c r="O10" s="7">
        <v>6.2168</v>
      </c>
      <c r="P10" s="7">
        <v>1.24336</v>
      </c>
      <c r="Q10" s="4">
        <f>表1[[#This Row],[日均成交量（万手）]]/表1[[#This Row],[日均持仓量（万手）]]</f>
        <v>0.53512373574349</v>
      </c>
      <c r="R10">
        <v>5</v>
      </c>
      <c r="S10">
        <v>25</v>
      </c>
      <c r="T10" s="5">
        <f t="shared" si="2"/>
        <v>2006</v>
      </c>
      <c r="U10">
        <v>153</v>
      </c>
      <c r="V10">
        <v>0</v>
      </c>
      <c r="W10" s="16">
        <v>55.113781</v>
      </c>
      <c r="X10" s="16">
        <v>10.837274</v>
      </c>
      <c r="Y10">
        <v>20000</v>
      </c>
      <c r="Z10">
        <v>0</v>
      </c>
    </row>
    <row r="11" spans="1:26">
      <c r="A11" s="2" t="s">
        <v>35</v>
      </c>
      <c r="B11" s="15">
        <v>2.8451896928</v>
      </c>
      <c r="C11" s="15">
        <v>0.09889188114</v>
      </c>
      <c r="D11" s="15">
        <v>0.695617386</v>
      </c>
      <c r="E11" s="15">
        <v>2.05068042566</v>
      </c>
      <c r="F11" s="15">
        <v>1.90751809816</v>
      </c>
      <c r="G11" s="15">
        <f t="shared" si="0"/>
        <v>0.93767159464</v>
      </c>
      <c r="H11" s="4">
        <f t="shared" si="1"/>
        <v>0.670436176184365</v>
      </c>
      <c r="I11" s="15">
        <v>2.8395481094</v>
      </c>
      <c r="J11" s="15">
        <f>表1[[#This Row],[期末权益(万元）]]-I10</f>
        <v>0.1032185171</v>
      </c>
      <c r="K11" s="6">
        <f>表1[[#This Row],[权益变动(万元）]]/I10</f>
        <v>0.0377215220675373</v>
      </c>
      <c r="L11" s="5">
        <v>1162.734555</v>
      </c>
      <c r="M11" s="5">
        <v>-51.819</v>
      </c>
      <c r="N11" s="7">
        <v>2.629</v>
      </c>
      <c r="O11" s="7">
        <v>6.6735</v>
      </c>
      <c r="P11" s="7">
        <v>1.3347</v>
      </c>
      <c r="Q11" s="4">
        <f>表1[[#This Row],[日均成交量（万手）]]/表1[[#This Row],[日均持仓量（万手）]]</f>
        <v>0.507683529859262</v>
      </c>
      <c r="R11">
        <v>5</v>
      </c>
      <c r="S11" s="5">
        <v>28</v>
      </c>
      <c r="T11" s="5">
        <f t="shared" si="2"/>
        <v>2034</v>
      </c>
      <c r="U11">
        <v>161</v>
      </c>
      <c r="V11">
        <v>0</v>
      </c>
      <c r="W11" s="16">
        <v>58.527634</v>
      </c>
      <c r="X11" s="16">
        <v>17.192052</v>
      </c>
      <c r="Y11">
        <v>20000</v>
      </c>
      <c r="Z11">
        <v>0</v>
      </c>
    </row>
    <row r="12" spans="1:26">
      <c r="A12" s="2" t="s">
        <v>36</v>
      </c>
      <c r="B12" s="15">
        <v>2.82299141826</v>
      </c>
      <c r="C12" s="15">
        <v>0.09928504836</v>
      </c>
      <c r="D12" s="15">
        <v>0.69867507154</v>
      </c>
      <c r="E12" s="15">
        <v>2.02503129836</v>
      </c>
      <c r="F12" s="15">
        <v>1.88171288566</v>
      </c>
      <c r="G12" s="15">
        <f t="shared" si="0"/>
        <v>0.9412785326</v>
      </c>
      <c r="H12" s="4">
        <f t="shared" si="1"/>
        <v>0.666566987589295</v>
      </c>
      <c r="I12" s="15">
        <v>2.699094939</v>
      </c>
      <c r="J12" s="15">
        <f>表1[[#This Row],[期末权益(万元）]]-I11</f>
        <v>-0.1404531704</v>
      </c>
      <c r="K12" s="6">
        <f>表1[[#This Row],[权益变动(万元）]]/I11</f>
        <v>-0.0494632120988004</v>
      </c>
      <c r="L12" s="5">
        <v>-3077.687696</v>
      </c>
      <c r="M12" s="5">
        <v>1596.3985</v>
      </c>
      <c r="N12" s="7">
        <v>2.71824</v>
      </c>
      <c r="O12" s="7">
        <v>11.8292</v>
      </c>
      <c r="P12" s="7">
        <v>2.36584</v>
      </c>
      <c r="Q12" s="4">
        <f>表1[[#This Row],[日均成交量（万手）]]/表1[[#This Row],[日均持仓量（万手）]]</f>
        <v>0.870357290011184</v>
      </c>
      <c r="R12">
        <v>5</v>
      </c>
      <c r="S12" s="5">
        <v>26</v>
      </c>
      <c r="T12" s="5">
        <f t="shared" si="2"/>
        <v>2060</v>
      </c>
      <c r="U12">
        <v>171</v>
      </c>
      <c r="V12">
        <v>0</v>
      </c>
      <c r="W12" s="16">
        <v>77.442008</v>
      </c>
      <c r="X12" s="16">
        <v>19.349449</v>
      </c>
      <c r="Y12">
        <v>20000</v>
      </c>
      <c r="Z12">
        <v>0</v>
      </c>
    </row>
    <row r="13" spans="1:26">
      <c r="A13" s="2" t="s">
        <v>37</v>
      </c>
      <c r="B13" s="15">
        <v>2.5764270595</v>
      </c>
      <c r="C13" s="15">
        <v>0.09974420296</v>
      </c>
      <c r="D13" s="15">
        <v>0.61436688888</v>
      </c>
      <c r="E13" s="15">
        <v>1.86231596766</v>
      </c>
      <c r="F13" s="15">
        <v>1.7186125047</v>
      </c>
      <c r="G13" s="15">
        <f t="shared" si="0"/>
        <v>0.8578145548</v>
      </c>
      <c r="H13" s="4">
        <f t="shared" si="1"/>
        <v>0.667052652766939</v>
      </c>
      <c r="I13" s="15">
        <v>2.3240291775</v>
      </c>
      <c r="J13" s="15">
        <f>表1[[#This Row],[期末权益(万元）]]-I12</f>
        <v>-0.3750657615</v>
      </c>
      <c r="K13" s="6">
        <f>表1[[#This Row],[权益变动(万元）]]/I12</f>
        <v>-0.138959825414278</v>
      </c>
      <c r="L13" s="5">
        <v>-2644.33328</v>
      </c>
      <c r="M13" s="5">
        <v>-1121.9225</v>
      </c>
      <c r="N13" s="7">
        <v>2.63714</v>
      </c>
      <c r="O13" s="7">
        <v>7.1065</v>
      </c>
      <c r="P13" s="7">
        <v>1.4213</v>
      </c>
      <c r="Q13" s="4">
        <f>表1[[#This Row],[日均成交量（万手）]]/表1[[#This Row],[日均持仓量（万手）]]</f>
        <v>0.538955080124681</v>
      </c>
      <c r="R13">
        <v>5</v>
      </c>
      <c r="S13" s="5">
        <v>26</v>
      </c>
      <c r="T13" s="5">
        <f t="shared" si="2"/>
        <v>2086</v>
      </c>
      <c r="U13">
        <v>188</v>
      </c>
      <c r="V13">
        <v>0</v>
      </c>
      <c r="W13" s="16">
        <v>71.228335</v>
      </c>
      <c r="X13" s="16">
        <v>14.64372</v>
      </c>
      <c r="Y13">
        <v>20000</v>
      </c>
      <c r="Z13">
        <v>0</v>
      </c>
    </row>
    <row r="14" spans="1:26">
      <c r="A14" s="2" t="s">
        <v>38</v>
      </c>
      <c r="B14" s="15">
        <v>2.48481139206667</v>
      </c>
      <c r="C14" s="15">
        <v>0.0992330863666667</v>
      </c>
      <c r="D14" s="15">
        <v>0.572122448333333</v>
      </c>
      <c r="E14" s="15">
        <v>1.81345585736667</v>
      </c>
      <c r="F14" s="15">
        <v>1.66969350643333</v>
      </c>
      <c r="G14" s="15">
        <f t="shared" si="0"/>
        <v>0.81511788563334</v>
      </c>
      <c r="H14" s="4">
        <f t="shared" si="1"/>
        <v>0.671959856496235</v>
      </c>
      <c r="I14" s="15">
        <v>2.6772484969</v>
      </c>
      <c r="J14" s="15">
        <f>表1[[#This Row],[期末权益(万元）]]-I13</f>
        <v>0.3532193194</v>
      </c>
      <c r="K14" s="6">
        <f>表1[[#This Row],[权益变动(万元）]]/I13</f>
        <v>0.151985750789912</v>
      </c>
      <c r="L14" s="5">
        <v>3633.680198</v>
      </c>
      <c r="M14" s="5">
        <v>-90.434</v>
      </c>
      <c r="N14" s="7">
        <v>2.9877</v>
      </c>
      <c r="O14" s="7">
        <v>2.5825</v>
      </c>
      <c r="P14" s="7">
        <v>0.860833333333333</v>
      </c>
      <c r="Q14" s="4">
        <f>表1[[#This Row],[日均成交量（万手）]]/表1[[#This Row],[日均持仓量（万手）]]</f>
        <v>0.288125760060693</v>
      </c>
      <c r="R14">
        <v>3</v>
      </c>
      <c r="S14" s="5">
        <v>12</v>
      </c>
      <c r="T14" s="5">
        <f t="shared" si="2"/>
        <v>2097</v>
      </c>
      <c r="U14">
        <v>185</v>
      </c>
      <c r="V14">
        <v>1</v>
      </c>
      <c r="W14" s="16">
        <v>20.877004</v>
      </c>
      <c r="X14" s="16">
        <v>8.521983</v>
      </c>
      <c r="Y14">
        <v>20000</v>
      </c>
      <c r="Z14">
        <v>0</v>
      </c>
    </row>
    <row r="15" spans="1:26">
      <c r="A15" s="2" t="s">
        <v>39</v>
      </c>
      <c r="B15" s="15">
        <v>2.45157735328</v>
      </c>
      <c r="C15" s="15">
        <v>0.15859440456</v>
      </c>
      <c r="D15" s="15">
        <v>0.61871416186</v>
      </c>
      <c r="E15" s="15">
        <v>1.67426878686</v>
      </c>
      <c r="F15" s="15">
        <v>1.53020735612</v>
      </c>
      <c r="G15" s="15">
        <f t="shared" si="0"/>
        <v>0.92136999716</v>
      </c>
      <c r="H15" s="4">
        <f t="shared" si="1"/>
        <v>0.624172577737641</v>
      </c>
      <c r="I15" s="15">
        <v>2.3579410531</v>
      </c>
      <c r="J15" s="15">
        <f>表1[[#This Row],[期末权益(万元）]]-I14</f>
        <v>-0.3193074438</v>
      </c>
      <c r="K15" s="6">
        <f>表1[[#This Row],[权益变动(万元）]]/I14</f>
        <v>-0.119267017674948</v>
      </c>
      <c r="L15" s="5">
        <v>-4409.520496</v>
      </c>
      <c r="M15" s="5">
        <v>1239.6855</v>
      </c>
      <c r="N15" s="7">
        <v>2.75296</v>
      </c>
      <c r="O15" s="7">
        <v>3.8689</v>
      </c>
      <c r="P15" s="7">
        <v>0.77378</v>
      </c>
      <c r="Q15" s="4">
        <f>表1[[#This Row],[日均成交量（万手）]]/表1[[#This Row],[日均持仓量（万手）]]</f>
        <v>0.281072009764036</v>
      </c>
      <c r="R15">
        <v>5</v>
      </c>
      <c r="S15" s="5">
        <v>28</v>
      </c>
      <c r="T15" s="5">
        <f t="shared" si="2"/>
        <v>2124</v>
      </c>
      <c r="U15">
        <v>201</v>
      </c>
      <c r="V15">
        <v>1</v>
      </c>
      <c r="W15" s="16">
        <v>46.227442</v>
      </c>
      <c r="X15" s="16">
        <v>16.506916</v>
      </c>
      <c r="Y15">
        <v>20000</v>
      </c>
      <c r="Z15">
        <v>0</v>
      </c>
    </row>
    <row r="16" spans="1:26">
      <c r="A16" s="2" t="s">
        <v>40</v>
      </c>
      <c r="B16" s="15">
        <v>2.39430498498</v>
      </c>
      <c r="C16" s="15">
        <v>0.16184661208</v>
      </c>
      <c r="D16" s="15">
        <v>0.654754709</v>
      </c>
      <c r="E16" s="15">
        <v>1.5777036639</v>
      </c>
      <c r="F16" s="15">
        <v>1.4334549196</v>
      </c>
      <c r="G16" s="15">
        <f t="shared" si="0"/>
        <v>0.96085006538</v>
      </c>
      <c r="H16" s="4">
        <f t="shared" si="1"/>
        <v>0.598693536785153</v>
      </c>
      <c r="I16" s="15">
        <v>2.3433926457</v>
      </c>
      <c r="J16" s="15">
        <f>表1[[#This Row],[期末权益(万元）]]-I15</f>
        <v>-0.0145484074</v>
      </c>
      <c r="K16" s="6">
        <f>表1[[#This Row],[权益变动(万元）]]/I15</f>
        <v>-0.00616996229862196</v>
      </c>
      <c r="L16" s="5">
        <v>216.445764</v>
      </c>
      <c r="M16" s="5">
        <v>-379.891</v>
      </c>
      <c r="N16" s="7">
        <v>2.37832</v>
      </c>
      <c r="O16" s="7">
        <v>6.5908</v>
      </c>
      <c r="P16" s="7">
        <v>1.31816</v>
      </c>
      <c r="Q16" s="4">
        <f>表1[[#This Row],[日均成交量（万手）]]/表1[[#This Row],[日均持仓量（万手）]]</f>
        <v>0.554239967708298</v>
      </c>
      <c r="R16">
        <v>5</v>
      </c>
      <c r="S16" s="5">
        <v>71</v>
      </c>
      <c r="T16" s="5">
        <f t="shared" si="2"/>
        <v>2195</v>
      </c>
      <c r="U16">
        <v>238</v>
      </c>
      <c r="V16">
        <v>0</v>
      </c>
      <c r="W16" s="16">
        <v>53.258088</v>
      </c>
      <c r="X16" s="16">
        <v>19.446565</v>
      </c>
      <c r="Y16">
        <v>20000</v>
      </c>
      <c r="Z16">
        <v>0</v>
      </c>
    </row>
    <row r="17" spans="1:26">
      <c r="A17" s="2" t="s">
        <v>41</v>
      </c>
      <c r="B17" s="15">
        <v>2.47832768754</v>
      </c>
      <c r="C17" s="15">
        <v>0.21475074636</v>
      </c>
      <c r="D17" s="15">
        <v>0.73119443492</v>
      </c>
      <c r="E17" s="15">
        <v>1.53238250626</v>
      </c>
      <c r="F17" s="15">
        <v>1.38176668382</v>
      </c>
      <c r="G17" s="15">
        <f t="shared" si="0"/>
        <v>1.09656100372</v>
      </c>
      <c r="H17" s="4">
        <f t="shared" si="1"/>
        <v>0.557539945491045</v>
      </c>
      <c r="I17" s="15">
        <v>2.4390759121</v>
      </c>
      <c r="J17" s="15">
        <f>表1[[#This Row],[期末权益(万元）]]-I16</f>
        <v>0.0956832664</v>
      </c>
      <c r="K17" s="6">
        <f>表1[[#This Row],[权益变动(万元）]]/I16</f>
        <v>0.0408310858940236</v>
      </c>
      <c r="L17" s="5">
        <v>380.87216</v>
      </c>
      <c r="M17" s="5">
        <v>658.778</v>
      </c>
      <c r="N17" s="7">
        <v>2.46912</v>
      </c>
      <c r="O17" s="7">
        <v>5.4661</v>
      </c>
      <c r="P17" s="7">
        <v>1.09322</v>
      </c>
      <c r="Q17" s="4">
        <f>表1[[#This Row],[日均成交量（万手）]]/表1[[#This Row],[日均持仓量（万手）]]</f>
        <v>0.442756933644375</v>
      </c>
      <c r="R17">
        <v>5</v>
      </c>
      <c r="S17" s="5">
        <v>58</v>
      </c>
      <c r="T17" s="5">
        <f t="shared" si="2"/>
        <v>2253</v>
      </c>
      <c r="U17">
        <v>278</v>
      </c>
      <c r="V17">
        <v>0</v>
      </c>
      <c r="W17" s="16">
        <v>67.419496</v>
      </c>
      <c r="X17" s="16">
        <v>24.611869</v>
      </c>
      <c r="Y17">
        <v>20000</v>
      </c>
      <c r="Z17">
        <v>0</v>
      </c>
    </row>
    <row r="18" spans="1:26">
      <c r="A18" s="2" t="s">
        <v>42</v>
      </c>
      <c r="B18" s="15">
        <v>2.67192397915</v>
      </c>
      <c r="C18" s="15">
        <v>0.21634292045</v>
      </c>
      <c r="D18" s="15">
        <v>0.75208584325</v>
      </c>
      <c r="E18" s="15">
        <v>1.70349521545</v>
      </c>
      <c r="F18" s="15">
        <v>1.55280728645</v>
      </c>
      <c r="G18" s="15">
        <f t="shared" si="0"/>
        <v>1.1191166927</v>
      </c>
      <c r="H18" s="4">
        <f t="shared" si="1"/>
        <v>0.581156985964842</v>
      </c>
      <c r="I18" s="15">
        <v>2.8131980691</v>
      </c>
      <c r="J18" s="15">
        <f>表1[[#This Row],[期末权益(万元）]]-I17</f>
        <v>0.374122157</v>
      </c>
      <c r="K18" s="6">
        <f>表1[[#This Row],[权益变动(万元）]]/I17</f>
        <v>0.153386844232285</v>
      </c>
      <c r="L18" s="5">
        <v>3688.701034</v>
      </c>
      <c r="M18" s="5">
        <v>72.096</v>
      </c>
      <c r="N18" s="7">
        <v>2.1614</v>
      </c>
      <c r="O18" s="7">
        <v>1.6842</v>
      </c>
      <c r="P18" s="7">
        <v>0.8421</v>
      </c>
      <c r="Q18" s="4">
        <f>表1[[#This Row],[日均成交量（万手）]]/表1[[#This Row],[日均持仓量（万手）]]</f>
        <v>0.389608587026927</v>
      </c>
      <c r="R18">
        <v>2</v>
      </c>
      <c r="S18">
        <v>17</v>
      </c>
      <c r="T18" s="5">
        <f t="shared" si="2"/>
        <v>2270</v>
      </c>
      <c r="U18">
        <v>257</v>
      </c>
      <c r="V18">
        <v>0</v>
      </c>
      <c r="W18" s="16">
        <v>16.060214</v>
      </c>
      <c r="X18" s="16">
        <v>8.59566</v>
      </c>
      <c r="Y18">
        <v>20000</v>
      </c>
      <c r="Z18">
        <v>0</v>
      </c>
    </row>
    <row r="19" spans="1:26">
      <c r="A19" s="2" t="s">
        <v>43</v>
      </c>
      <c r="B19" s="15">
        <v>2.65255785674</v>
      </c>
      <c r="C19" s="15">
        <v>0.21439866046</v>
      </c>
      <c r="D19" s="15">
        <v>0.8073851561</v>
      </c>
      <c r="E19" s="15">
        <v>1.63077404018</v>
      </c>
      <c r="F19" s="15">
        <v>1.48034224388</v>
      </c>
      <c r="G19" s="15">
        <f t="shared" si="0"/>
        <v>1.17221561286</v>
      </c>
      <c r="H19" s="4">
        <f t="shared" si="1"/>
        <v>0.558081038691968</v>
      </c>
      <c r="I19" s="15">
        <v>2.4307099911</v>
      </c>
      <c r="J19" s="15">
        <f>表1[[#This Row],[期末权益(万元）]]-I18</f>
        <v>-0.382488078</v>
      </c>
      <c r="K19" s="6">
        <f>表1[[#This Row],[权益变动(万元）]]/I18</f>
        <v>-0.135962014975492</v>
      </c>
      <c r="L19" s="5">
        <v>-4285.244972</v>
      </c>
      <c r="M19" s="5">
        <v>530.3935</v>
      </c>
      <c r="N19" s="7">
        <v>1.93642</v>
      </c>
      <c r="O19" s="7">
        <v>6.1646</v>
      </c>
      <c r="P19" s="7">
        <v>1.23292</v>
      </c>
      <c r="Q19" s="4">
        <f>表1[[#This Row],[日均成交量（万手）]]/表1[[#This Row],[日均持仓量（万手）]]</f>
        <v>0.636700715753814</v>
      </c>
      <c r="R19">
        <v>5</v>
      </c>
      <c r="S19">
        <v>27</v>
      </c>
      <c r="T19" s="5">
        <f t="shared" si="2"/>
        <v>2297</v>
      </c>
      <c r="U19">
        <v>274</v>
      </c>
      <c r="V19">
        <v>0</v>
      </c>
      <c r="W19" s="16">
        <v>60.784808</v>
      </c>
      <c r="X19" s="16">
        <v>27.726301</v>
      </c>
      <c r="Y19">
        <v>20000</v>
      </c>
      <c r="Z19">
        <v>0</v>
      </c>
    </row>
    <row r="20" spans="1:26">
      <c r="A20" s="2" t="s">
        <v>44</v>
      </c>
      <c r="B20" s="15">
        <v>2.47220823246</v>
      </c>
      <c r="C20" s="15">
        <v>0.25317599678</v>
      </c>
      <c r="D20" s="15">
        <v>0.85109343392</v>
      </c>
      <c r="E20" s="15">
        <v>1.36793880176</v>
      </c>
      <c r="F20" s="15">
        <v>1.21856446482</v>
      </c>
      <c r="G20" s="15">
        <f t="shared" si="0"/>
        <v>1.25364376764</v>
      </c>
      <c r="H20" s="4">
        <f t="shared" si="1"/>
        <v>0.492905269394501</v>
      </c>
      <c r="I20" s="15">
        <v>2.5095060581</v>
      </c>
      <c r="J20" s="15">
        <f>表1[[#This Row],[期末权益(万元）]]-I19</f>
        <v>0.0787960669999999</v>
      </c>
      <c r="K20" s="6">
        <f>表1[[#This Row],[权益变动(万元）]]/I19</f>
        <v>0.0324168935366663</v>
      </c>
      <c r="L20" s="5">
        <v>1002.308548</v>
      </c>
      <c r="M20" s="5">
        <v>-130.3095</v>
      </c>
      <c r="N20" s="7">
        <v>1.85816</v>
      </c>
      <c r="O20" s="7">
        <v>7.5485</v>
      </c>
      <c r="P20" s="7">
        <v>1.5097</v>
      </c>
      <c r="Q20" s="4">
        <f>表1[[#This Row],[日均成交量（万手）]]/表1[[#This Row],[日均持仓量（万手）]]</f>
        <v>0.812470400826624</v>
      </c>
      <c r="R20">
        <v>5</v>
      </c>
      <c r="S20" s="5">
        <v>44</v>
      </c>
      <c r="T20" s="5">
        <f t="shared" si="2"/>
        <v>2341</v>
      </c>
      <c r="U20">
        <v>290</v>
      </c>
      <c r="V20">
        <v>0</v>
      </c>
      <c r="W20" s="16">
        <v>106.776878</v>
      </c>
      <c r="X20" s="16">
        <v>46.618542</v>
      </c>
      <c r="Y20">
        <v>20000</v>
      </c>
      <c r="Z20">
        <v>0</v>
      </c>
    </row>
    <row r="21" spans="1:26">
      <c r="A21" s="2" t="s">
        <v>45</v>
      </c>
      <c r="B21" s="15">
        <v>2.77133074702</v>
      </c>
      <c r="C21" s="15">
        <v>0.29726445426</v>
      </c>
      <c r="D21" s="15">
        <v>1.0736211342</v>
      </c>
      <c r="E21" s="15">
        <v>1.40044515856</v>
      </c>
      <c r="F21" s="15">
        <v>1.21760173176</v>
      </c>
      <c r="G21" s="15">
        <f t="shared" si="0"/>
        <v>1.55372901526</v>
      </c>
      <c r="H21" s="4">
        <f t="shared" si="1"/>
        <v>0.439356339213312</v>
      </c>
      <c r="I21" s="15">
        <v>2.7616092212</v>
      </c>
      <c r="J21" s="15">
        <f>表1[[#This Row],[期末权益(万元）]]-I20</f>
        <v>0.2521031631</v>
      </c>
      <c r="K21" s="6">
        <f>表1[[#This Row],[权益变动(万元）]]/I20</f>
        <v>0.100459276552165</v>
      </c>
      <c r="L21" s="5">
        <v>2191.287215</v>
      </c>
      <c r="M21" s="5">
        <v>476.1515</v>
      </c>
      <c r="N21" s="7">
        <v>2.10416</v>
      </c>
      <c r="O21" s="7">
        <v>11.1481</v>
      </c>
      <c r="P21" s="7">
        <v>2.22962</v>
      </c>
      <c r="Q21" s="4">
        <f>表1[[#This Row],[日均成交量（万手）]]/表1[[#This Row],[日均持仓量（万手）]]</f>
        <v>1.05962474336552</v>
      </c>
      <c r="R21">
        <v>5</v>
      </c>
      <c r="S21">
        <v>37</v>
      </c>
      <c r="T21" s="5">
        <f t="shared" si="2"/>
        <v>2377</v>
      </c>
      <c r="U21">
        <v>312</v>
      </c>
      <c r="V21">
        <v>1</v>
      </c>
      <c r="W21" s="16">
        <v>147.507584</v>
      </c>
      <c r="X21" s="16">
        <v>82.407783</v>
      </c>
      <c r="Y21">
        <v>20000</v>
      </c>
      <c r="Z21">
        <v>0</v>
      </c>
    </row>
    <row r="22" spans="1:26">
      <c r="A22" s="2" t="s">
        <v>46</v>
      </c>
      <c r="B22" s="15">
        <v>2.92404183074</v>
      </c>
      <c r="C22" s="15">
        <v>0.28080275844</v>
      </c>
      <c r="D22" s="15">
        <v>1.1393724661</v>
      </c>
      <c r="E22" s="15">
        <v>1.5038666062</v>
      </c>
      <c r="F22" s="15">
        <v>1.35413963018</v>
      </c>
      <c r="G22" s="15">
        <f t="shared" si="0"/>
        <v>1.56990220056</v>
      </c>
      <c r="H22" s="4">
        <f t="shared" si="1"/>
        <v>0.463105423439617</v>
      </c>
      <c r="I22" s="15">
        <v>2.8636991887</v>
      </c>
      <c r="J22" s="15">
        <f>表1[[#This Row],[期末权益(万元）]]-I21</f>
        <v>0.1020899675</v>
      </c>
      <c r="K22" s="6">
        <f>表1[[#This Row],[权益变动(万元）]]/I21</f>
        <v>0.0369675646779738</v>
      </c>
      <c r="L22" s="5">
        <v>1968.498902</v>
      </c>
      <c r="M22" s="5">
        <v>-867.53</v>
      </c>
      <c r="N22" s="7">
        <v>2.33686</v>
      </c>
      <c r="O22" s="7">
        <v>11.2097</v>
      </c>
      <c r="P22" s="7">
        <v>2.24194</v>
      </c>
      <c r="Q22" s="4">
        <f>表1[[#This Row],[日均成交量（万手）]]/表1[[#This Row],[日均持仓量（万手）]]</f>
        <v>0.959381392124475</v>
      </c>
      <c r="R22">
        <v>5</v>
      </c>
      <c r="S22" s="5">
        <v>46</v>
      </c>
      <c r="T22" s="5">
        <f t="shared" si="2"/>
        <v>2421</v>
      </c>
      <c r="U22">
        <v>316</v>
      </c>
      <c r="V22">
        <v>2</v>
      </c>
      <c r="W22" s="16">
        <v>121.555727</v>
      </c>
      <c r="X22" s="16">
        <v>69.194365</v>
      </c>
      <c r="Y22">
        <v>20000</v>
      </c>
      <c r="Z22">
        <v>0</v>
      </c>
    </row>
    <row r="23" spans="1:26">
      <c r="A23" s="2" t="s">
        <v>47</v>
      </c>
      <c r="B23" s="15">
        <v>2.97601412852</v>
      </c>
      <c r="C23" s="15">
        <v>0.2766217242</v>
      </c>
      <c r="D23" s="15">
        <v>1.15693772792</v>
      </c>
      <c r="E23" s="15">
        <v>1.5424546764</v>
      </c>
      <c r="F23" s="15">
        <v>1.3924514943</v>
      </c>
      <c r="G23" s="15">
        <f t="shared" si="0"/>
        <v>1.58356263422</v>
      </c>
      <c r="H23" s="4">
        <f t="shared" si="1"/>
        <v>0.46789142596997</v>
      </c>
      <c r="I23" s="15">
        <v>3.0410947411</v>
      </c>
      <c r="J23" s="15">
        <f>表1[[#This Row],[期末权益(万元）]]-I22</f>
        <v>0.1773955524</v>
      </c>
      <c r="K23" s="6">
        <f>表1[[#This Row],[权益变动(万元）]]/I22</f>
        <v>0.0619462941848059</v>
      </c>
      <c r="L23" s="5">
        <v>412.29634</v>
      </c>
      <c r="M23" s="5">
        <v>1418.392</v>
      </c>
      <c r="N23" s="7">
        <v>2.42036</v>
      </c>
      <c r="O23" s="7">
        <v>10.7385</v>
      </c>
      <c r="P23" s="7">
        <v>2.1477</v>
      </c>
      <c r="Q23" s="4">
        <f>表1[[#This Row],[日均成交量（万手）]]/表1[[#This Row],[日均持仓量（万手）]]</f>
        <v>0.887347336759821</v>
      </c>
      <c r="R23">
        <v>5</v>
      </c>
      <c r="S23" s="5">
        <v>79</v>
      </c>
      <c r="T23" s="5">
        <f t="shared" si="2"/>
        <v>2500</v>
      </c>
      <c r="U23">
        <v>336</v>
      </c>
      <c r="V23">
        <v>0</v>
      </c>
      <c r="W23" s="16">
        <v>120.809316</v>
      </c>
      <c r="X23" s="16">
        <v>55.718801</v>
      </c>
      <c r="Y23">
        <v>20000</v>
      </c>
      <c r="Z23">
        <v>0</v>
      </c>
    </row>
    <row r="24" spans="1:26">
      <c r="A24" s="2" t="s">
        <v>48</v>
      </c>
      <c r="B24" s="15">
        <v>2.81809569105</v>
      </c>
      <c r="C24" s="15">
        <v>0.2683449399</v>
      </c>
      <c r="D24" s="15">
        <v>1.178604745025</v>
      </c>
      <c r="E24" s="15">
        <v>1.371146006125</v>
      </c>
      <c r="F24" s="15">
        <v>1.221288763925</v>
      </c>
      <c r="G24" s="15">
        <f t="shared" si="0"/>
        <v>1.596806927125</v>
      </c>
      <c r="H24" s="4">
        <f t="shared" si="1"/>
        <v>0.433373773574721</v>
      </c>
      <c r="I24" s="15">
        <v>2.9160362547</v>
      </c>
      <c r="J24" s="15">
        <f>表1[[#This Row],[期末权益(万元）]]-I23</f>
        <v>-0.1250584864</v>
      </c>
      <c r="K24" s="6">
        <f>表1[[#This Row],[权益变动(万元）]]/I23</f>
        <v>-0.0411228511594365</v>
      </c>
      <c r="L24" s="5">
        <v>-1014.495664</v>
      </c>
      <c r="M24" s="5">
        <v>-145.864</v>
      </c>
      <c r="N24" s="7">
        <v>2.31105</v>
      </c>
      <c r="O24" s="7">
        <v>6.1769</v>
      </c>
      <c r="P24" s="7">
        <v>1.544225</v>
      </c>
      <c r="Q24" s="4">
        <f>表1[[#This Row],[日均成交量（万手）]]/表1[[#This Row],[日均持仓量（万手）]]</f>
        <v>0.668191947383224</v>
      </c>
      <c r="R24">
        <v>4</v>
      </c>
      <c r="S24" s="5">
        <v>39</v>
      </c>
      <c r="T24" s="5">
        <f t="shared" si="2"/>
        <v>2536</v>
      </c>
      <c r="U24">
        <v>326</v>
      </c>
      <c r="V24">
        <v>3</v>
      </c>
      <c r="W24" s="16">
        <v>83.1092</v>
      </c>
      <c r="X24" s="16">
        <v>38.079109</v>
      </c>
      <c r="Y24">
        <v>20000</v>
      </c>
      <c r="Z24">
        <v>0</v>
      </c>
    </row>
    <row r="25" spans="1:26">
      <c r="A25" s="2" t="s">
        <v>49</v>
      </c>
      <c r="B25" s="15">
        <v>2.93071890228</v>
      </c>
      <c r="C25" s="15">
        <v>0.29446389232</v>
      </c>
      <c r="D25" s="15">
        <v>1.18371502708</v>
      </c>
      <c r="E25" s="15">
        <v>1.45253998288</v>
      </c>
      <c r="F25" s="15">
        <v>1.30272227568</v>
      </c>
      <c r="G25" s="15">
        <f t="shared" si="0"/>
        <v>1.6279966266</v>
      </c>
      <c r="H25" s="4">
        <f t="shared" si="1"/>
        <v>0.444506047532067</v>
      </c>
      <c r="I25" s="15">
        <v>2.9303451112</v>
      </c>
      <c r="J25" s="15">
        <f>表1[[#This Row],[期末权益(万元）]]-I24</f>
        <v>0.0143088565</v>
      </c>
      <c r="K25" s="6">
        <f>表1[[#This Row],[权益变动(万元）]]/I24</f>
        <v>0.00490695425234763</v>
      </c>
      <c r="L25" s="5">
        <v>-35.5908730000004</v>
      </c>
      <c r="M25" s="5">
        <v>262.0335</v>
      </c>
      <c r="N25" s="7">
        <v>2.33788</v>
      </c>
      <c r="O25" s="7">
        <v>9.4343</v>
      </c>
      <c r="P25" s="7">
        <v>1.88686</v>
      </c>
      <c r="Q25" s="4">
        <f>表1[[#This Row],[日均成交量（万手）]]/表1[[#This Row],[日均持仓量（万手）]]</f>
        <v>0.807081629510497</v>
      </c>
      <c r="R25">
        <v>5</v>
      </c>
      <c r="S25">
        <v>43</v>
      </c>
      <c r="T25" s="5">
        <f t="shared" si="2"/>
        <v>2576</v>
      </c>
      <c r="U25">
        <v>357</v>
      </c>
      <c r="V25">
        <v>3</v>
      </c>
      <c r="W25" s="16">
        <v>93.005812</v>
      </c>
      <c r="X25" s="16">
        <v>36.644064</v>
      </c>
      <c r="Y25">
        <v>30000</v>
      </c>
      <c r="Z25">
        <v>0</v>
      </c>
    </row>
    <row r="26" spans="1:26">
      <c r="A26" s="2" t="s">
        <v>50</v>
      </c>
      <c r="B26" s="15">
        <v>2.89389322588</v>
      </c>
      <c r="C26" s="15">
        <v>0.29691092616</v>
      </c>
      <c r="D26" s="15">
        <v>1.18872278152</v>
      </c>
      <c r="E26" s="15">
        <v>1.4082595182</v>
      </c>
      <c r="F26" s="15">
        <v>1.2582249597</v>
      </c>
      <c r="G26" s="15">
        <f t="shared" si="0"/>
        <v>1.63566826618</v>
      </c>
      <c r="H26" s="4">
        <f t="shared" si="1"/>
        <v>0.434786241747875</v>
      </c>
      <c r="I26" s="15">
        <v>2.7352015142</v>
      </c>
      <c r="J26" s="15">
        <f>表1[[#This Row],[期末权益(万元）]]-I25</f>
        <v>-0.195143597</v>
      </c>
      <c r="K26" s="6">
        <f>表1[[#This Row],[权益变动(万元）]]/I25</f>
        <v>-0.0665940664306557</v>
      </c>
      <c r="L26" s="5">
        <v>-185.223858</v>
      </c>
      <c r="M26" s="5">
        <v>-1790.3975</v>
      </c>
      <c r="N26" s="7">
        <v>2.20402</v>
      </c>
      <c r="O26" s="7">
        <v>5.3477</v>
      </c>
      <c r="P26" s="7">
        <v>1.06954</v>
      </c>
      <c r="Q26" s="4">
        <f>表1[[#This Row],[日均成交量（万手）]]/表1[[#This Row],[日均持仓量（万手）]]</f>
        <v>0.485267828785583</v>
      </c>
      <c r="R26">
        <v>5</v>
      </c>
      <c r="S26" s="5">
        <v>31</v>
      </c>
      <c r="T26" s="5">
        <f t="shared" si="2"/>
        <v>2605</v>
      </c>
      <c r="U26">
        <v>347</v>
      </c>
      <c r="V26">
        <v>2</v>
      </c>
      <c r="W26" s="16">
        <v>62.740112</v>
      </c>
      <c r="X26" s="16">
        <v>30.891832</v>
      </c>
      <c r="Y26">
        <v>30000</v>
      </c>
      <c r="Z26">
        <v>0</v>
      </c>
    </row>
    <row r="27" spans="1:26">
      <c r="A27" s="2" t="s">
        <v>51</v>
      </c>
      <c r="B27" s="15">
        <v>2.89047412286</v>
      </c>
      <c r="C27" s="15">
        <v>0.29557090068</v>
      </c>
      <c r="D27" s="15">
        <v>1.23196738038</v>
      </c>
      <c r="E27" s="15">
        <v>1.3629358418</v>
      </c>
      <c r="F27" s="15">
        <v>1.21303415574</v>
      </c>
      <c r="G27" s="15">
        <f t="shared" si="0"/>
        <v>1.67743996712</v>
      </c>
      <c r="H27" s="4">
        <f t="shared" si="1"/>
        <v>0.419666153087631</v>
      </c>
      <c r="I27" s="15">
        <v>2.8686989424</v>
      </c>
      <c r="J27" s="15">
        <f>表1[[#This Row],[期末权益(万元）]]-I26</f>
        <v>0.1334974282</v>
      </c>
      <c r="K27" s="6">
        <f>表1[[#This Row],[权益变动(万元）]]/I26</f>
        <v>0.0488071637526297</v>
      </c>
      <c r="L27" s="5">
        <v>1569.106753</v>
      </c>
      <c r="M27" s="5">
        <v>-167.149</v>
      </c>
      <c r="N27" s="7">
        <v>2.62894</v>
      </c>
      <c r="O27" s="7">
        <v>4.7972</v>
      </c>
      <c r="P27" s="7">
        <v>0.95944</v>
      </c>
      <c r="Q27" s="4">
        <f>表1[[#This Row],[日均成交量（万手）]]/表1[[#This Row],[日均持仓量（万手）]]</f>
        <v>0.364953175043934</v>
      </c>
      <c r="R27">
        <v>5</v>
      </c>
      <c r="S27" s="5">
        <v>42</v>
      </c>
      <c r="T27" s="5">
        <f t="shared" si="2"/>
        <v>2647</v>
      </c>
      <c r="U27">
        <v>354</v>
      </c>
      <c r="V27">
        <v>0</v>
      </c>
      <c r="W27" s="16">
        <v>81.328871</v>
      </c>
      <c r="X27" s="16">
        <v>43.451492</v>
      </c>
      <c r="Y27">
        <v>30000</v>
      </c>
      <c r="Z27">
        <v>0</v>
      </c>
    </row>
    <row r="28" spans="1:26">
      <c r="A28" s="2" t="s">
        <v>52</v>
      </c>
      <c r="B28" s="15">
        <v>2.94881441896</v>
      </c>
      <c r="C28" s="15">
        <v>0.30024720584</v>
      </c>
      <c r="D28" s="15">
        <v>1.17426056544</v>
      </c>
      <c r="E28" s="15">
        <v>1.47430664768</v>
      </c>
      <c r="F28" s="15">
        <v>1.31942272318</v>
      </c>
      <c r="G28" s="15">
        <f t="shared" si="0"/>
        <v>1.62939169578</v>
      </c>
      <c r="H28" s="4">
        <f t="shared" si="1"/>
        <v>0.447441763271539</v>
      </c>
      <c r="I28" s="15">
        <v>3.1385004393</v>
      </c>
      <c r="J28" s="15">
        <f>表1[[#This Row],[期末权益(万元）]]-I27</f>
        <v>0.2698014969</v>
      </c>
      <c r="K28" s="6">
        <f>表1[[#This Row],[权益变动(万元）]]/I27</f>
        <v>0.0940501259690498</v>
      </c>
      <c r="L28" s="5">
        <v>2694.059907</v>
      </c>
      <c r="M28" s="5">
        <v>69.4425</v>
      </c>
      <c r="N28" s="7">
        <v>2.60726</v>
      </c>
      <c r="O28" s="7">
        <v>6.4231</v>
      </c>
      <c r="P28" s="7">
        <v>1.28462</v>
      </c>
      <c r="Q28" s="4">
        <f>表1[[#This Row],[日均成交量（万手）]]/表1[[#This Row],[日均持仓量（万手）]]</f>
        <v>0.492708820754355</v>
      </c>
      <c r="R28">
        <v>5</v>
      </c>
      <c r="S28" s="5">
        <v>32</v>
      </c>
      <c r="T28" s="5">
        <f t="shared" si="2"/>
        <v>2677</v>
      </c>
      <c r="U28">
        <v>362</v>
      </c>
      <c r="V28">
        <v>2</v>
      </c>
      <c r="W28" s="16">
        <v>82.908438</v>
      </c>
      <c r="X28" s="16">
        <v>38.421955</v>
      </c>
      <c r="Y28">
        <v>30000</v>
      </c>
      <c r="Z28">
        <v>0</v>
      </c>
    </row>
    <row r="29" spans="1:26">
      <c r="A29" s="2" t="s">
        <v>53</v>
      </c>
      <c r="B29" s="15">
        <v>3.18541720188</v>
      </c>
      <c r="C29" s="15">
        <v>0.38293663984</v>
      </c>
      <c r="D29" s="15">
        <v>1.12703822594</v>
      </c>
      <c r="E29" s="15">
        <v>1.6754423361</v>
      </c>
      <c r="F29" s="15">
        <v>1.51839190174</v>
      </c>
      <c r="G29" s="15">
        <f t="shared" si="0"/>
        <v>1.66702530014</v>
      </c>
      <c r="H29" s="4">
        <f t="shared" si="1"/>
        <v>0.476669712477179</v>
      </c>
      <c r="I29" s="15">
        <v>3.0369243792</v>
      </c>
      <c r="J29" s="15">
        <f>表1[[#This Row],[期末权益(万元）]]-I28</f>
        <v>-0.1015760601</v>
      </c>
      <c r="K29" s="6">
        <f>表1[[#This Row],[权益变动(万元）]]/I28</f>
        <v>-0.0323645199561149</v>
      </c>
      <c r="L29" s="5">
        <v>-987.341311</v>
      </c>
      <c r="M29" s="5">
        <v>93.968</v>
      </c>
      <c r="N29" s="7">
        <v>2.59378</v>
      </c>
      <c r="O29" s="7">
        <v>7.0164</v>
      </c>
      <c r="P29" s="7">
        <v>1.40328</v>
      </c>
      <c r="Q29" s="4">
        <f>表1[[#This Row],[日均成交量（万手）]]/表1[[#This Row],[日均持仓量（万手）]]</f>
        <v>0.541017356907679</v>
      </c>
      <c r="R29">
        <v>5</v>
      </c>
      <c r="S29" s="5">
        <v>51</v>
      </c>
      <c r="T29" s="5">
        <f t="shared" si="2"/>
        <v>2725</v>
      </c>
      <c r="U29">
        <v>366</v>
      </c>
      <c r="V29">
        <v>3</v>
      </c>
      <c r="W29" s="16">
        <v>74.98354</v>
      </c>
      <c r="X29" s="16">
        <v>34.861757</v>
      </c>
      <c r="Y29">
        <v>30000</v>
      </c>
      <c r="Z29">
        <v>0</v>
      </c>
    </row>
    <row r="30" spans="1:26">
      <c r="A30" s="2" t="s">
        <v>54</v>
      </c>
      <c r="B30" s="15">
        <v>2.98184614296</v>
      </c>
      <c r="C30" s="15">
        <v>0.39385395072</v>
      </c>
      <c r="D30" s="15">
        <v>1.10808913992</v>
      </c>
      <c r="E30" s="15">
        <v>1.47990305232</v>
      </c>
      <c r="F30" s="15">
        <v>1.31778631786</v>
      </c>
      <c r="G30" s="15">
        <f t="shared" si="0"/>
        <v>1.6640598251</v>
      </c>
      <c r="H30" s="4">
        <f t="shared" si="1"/>
        <v>0.441936389297359</v>
      </c>
      <c r="I30" s="15">
        <v>2.9321316454</v>
      </c>
      <c r="J30" s="15">
        <f>表1[[#This Row],[期末权益(万元）]]-I29</f>
        <v>-0.1047927338</v>
      </c>
      <c r="K30" s="6">
        <f>表1[[#This Row],[权益变动(万元）]]/I29</f>
        <v>-0.0345062045396088</v>
      </c>
      <c r="L30" s="5">
        <v>-504.466284999999</v>
      </c>
      <c r="M30" s="5">
        <v>-352.45</v>
      </c>
      <c r="N30" s="7">
        <v>2.52272</v>
      </c>
      <c r="O30" s="7">
        <v>9.6747</v>
      </c>
      <c r="P30" s="7">
        <v>1.93494</v>
      </c>
      <c r="Q30" s="4">
        <f>表1[[#This Row],[日均成交量（万手）]]/表1[[#This Row],[日均持仓量（万手）]]</f>
        <v>0.767005454430139</v>
      </c>
      <c r="R30">
        <v>5</v>
      </c>
      <c r="S30" s="5">
        <v>67</v>
      </c>
      <c r="T30" s="5">
        <f t="shared" si="2"/>
        <v>2792</v>
      </c>
      <c r="U30">
        <v>381</v>
      </c>
      <c r="V30">
        <v>0</v>
      </c>
      <c r="W30" s="16">
        <v>69.874803</v>
      </c>
      <c r="X30" s="16">
        <v>27.989803</v>
      </c>
      <c r="Y30">
        <v>30000</v>
      </c>
      <c r="Z30">
        <v>0</v>
      </c>
    </row>
    <row r="31" spans="1:26">
      <c r="A31" s="2" t="s">
        <v>55</v>
      </c>
      <c r="B31" s="15">
        <v>2.80870037328</v>
      </c>
      <c r="C31" s="15">
        <v>0.40033374178</v>
      </c>
      <c r="D31" s="15">
        <v>1.07409763856</v>
      </c>
      <c r="E31" s="15">
        <v>1.33426899294</v>
      </c>
      <c r="F31" s="15">
        <v>1.17176032976</v>
      </c>
      <c r="G31" s="15">
        <f t="shared" si="0"/>
        <v>1.63694004352</v>
      </c>
      <c r="H31" s="4">
        <f t="shared" si="1"/>
        <v>0.417189509036743</v>
      </c>
      <c r="I31" s="15">
        <v>2.7363264074</v>
      </c>
      <c r="J31" s="15">
        <f>表1[[#This Row],[期末权益(万元）]]-I30</f>
        <v>-0.195805238</v>
      </c>
      <c r="K31" s="6">
        <f>表1[[#This Row],[权益变动(万元）]]/I30</f>
        <v>-0.0667791428489182</v>
      </c>
      <c r="L31" s="5">
        <v>-1439.507009</v>
      </c>
      <c r="M31" s="5">
        <v>-486.6755</v>
      </c>
      <c r="N31" s="7">
        <v>2.51218</v>
      </c>
      <c r="O31" s="7">
        <v>6.6047</v>
      </c>
      <c r="P31" s="7">
        <v>1.32094</v>
      </c>
      <c r="Q31" s="4">
        <f>表1[[#This Row],[日均成交量（万手）]]/表1[[#This Row],[日均持仓量（万手）]]</f>
        <v>0.525814233056549</v>
      </c>
      <c r="R31">
        <v>5</v>
      </c>
      <c r="S31" s="5">
        <v>58</v>
      </c>
      <c r="T31" s="5">
        <f t="shared" si="2"/>
        <v>2850</v>
      </c>
      <c r="U31">
        <v>395</v>
      </c>
      <c r="V31">
        <v>0</v>
      </c>
      <c r="W31" s="16">
        <v>62.688121</v>
      </c>
      <c r="X31" s="16">
        <v>34.378318</v>
      </c>
      <c r="Y31">
        <v>30000</v>
      </c>
      <c r="Z31">
        <v>0</v>
      </c>
    </row>
    <row r="32" spans="1:26">
      <c r="A32" s="2" t="s">
        <v>56</v>
      </c>
      <c r="B32" s="15">
        <v>2.8080010205</v>
      </c>
      <c r="C32" s="15">
        <v>0.4286760723</v>
      </c>
      <c r="D32" s="15">
        <v>1.09793869458</v>
      </c>
      <c r="E32" s="15">
        <v>1.28138625362</v>
      </c>
      <c r="F32" s="15">
        <v>1.12286381572</v>
      </c>
      <c r="G32" s="15">
        <f t="shared" si="0"/>
        <v>1.68513720478</v>
      </c>
      <c r="H32" s="4">
        <f t="shared" si="1"/>
        <v>0.399880130926754</v>
      </c>
      <c r="I32" s="15">
        <v>2.8310991367</v>
      </c>
      <c r="J32" s="15">
        <f>表1[[#This Row],[期末权益(万元）]]-I31</f>
        <v>0.0947727292999998</v>
      </c>
      <c r="K32" s="6">
        <f>表1[[#This Row],[权益变动(万元）]]/I31</f>
        <v>0.0346350234546948</v>
      </c>
      <c r="L32" s="5">
        <v>727.709156</v>
      </c>
      <c r="M32" s="5">
        <v>263.8</v>
      </c>
      <c r="N32" s="7">
        <v>2.65278</v>
      </c>
      <c r="O32" s="7">
        <v>6.4752</v>
      </c>
      <c r="P32" s="7">
        <v>1.29504</v>
      </c>
      <c r="Q32" s="4">
        <f>表1[[#This Row],[日均成交量（万手）]]/表1[[#This Row],[日均持仓量（万手）]]</f>
        <v>0.4881822088526</v>
      </c>
      <c r="R32">
        <v>5</v>
      </c>
      <c r="S32" s="5">
        <v>84</v>
      </c>
      <c r="T32" s="5">
        <f t="shared" si="2"/>
        <v>2933</v>
      </c>
      <c r="U32">
        <v>409</v>
      </c>
      <c r="V32">
        <v>1</v>
      </c>
      <c r="W32" s="16">
        <v>59.468613</v>
      </c>
      <c r="X32" s="16">
        <v>35.576489</v>
      </c>
      <c r="Y32">
        <v>30000</v>
      </c>
      <c r="Z32">
        <v>0</v>
      </c>
    </row>
    <row r="33" spans="1:26">
      <c r="A33" s="2" t="s">
        <v>57</v>
      </c>
      <c r="B33" s="15">
        <v>2.72563848946</v>
      </c>
      <c r="C33" s="15">
        <v>0.44269747908</v>
      </c>
      <c r="D33" s="15">
        <v>1.1297358676</v>
      </c>
      <c r="E33" s="15">
        <v>1.15320514278</v>
      </c>
      <c r="F33" s="15">
        <v>1.10280821794</v>
      </c>
      <c r="G33" s="15">
        <f t="shared" si="0"/>
        <v>1.62283027152</v>
      </c>
      <c r="H33" s="4">
        <f t="shared" si="1"/>
        <v>0.404605461144074</v>
      </c>
      <c r="I33" s="15">
        <v>2.7969990071</v>
      </c>
      <c r="J33" s="15">
        <f>表1[[#This Row],[期末权益(万元）]]-I32</f>
        <v>-0.0341001295999996</v>
      </c>
      <c r="K33" s="6">
        <f>表1[[#This Row],[权益变动(万元）]]/I32</f>
        <v>-0.0120448376949977</v>
      </c>
      <c r="L33" s="5">
        <v>8.30721199999899</v>
      </c>
      <c r="M33" s="5">
        <v>-152.2565</v>
      </c>
      <c r="N33" s="7">
        <v>3.17014</v>
      </c>
      <c r="O33" s="7">
        <v>12.5517</v>
      </c>
      <c r="P33" s="7">
        <v>2.51034</v>
      </c>
      <c r="Q33" s="4">
        <f>表1[[#This Row],[日均成交量（万手）]]/表1[[#This Row],[日均持仓量（万手）]]</f>
        <v>0.791870390582119</v>
      </c>
      <c r="R33">
        <v>5</v>
      </c>
      <c r="S33" s="5">
        <v>62</v>
      </c>
      <c r="T33" s="5">
        <f t="shared" si="2"/>
        <v>2993</v>
      </c>
      <c r="U33">
        <v>416</v>
      </c>
      <c r="V33">
        <v>2</v>
      </c>
      <c r="W33" s="16">
        <v>106.686008</v>
      </c>
      <c r="X33" s="16">
        <v>45.79593</v>
      </c>
      <c r="Y33">
        <v>30000</v>
      </c>
      <c r="Z33">
        <v>0</v>
      </c>
    </row>
    <row r="34" spans="1:26">
      <c r="A34" s="2" t="s">
        <v>58</v>
      </c>
      <c r="B34" s="15">
        <v>2.7406539207</v>
      </c>
      <c r="C34" s="15">
        <v>0.51589821256</v>
      </c>
      <c r="D34" s="15">
        <v>1.19662157088</v>
      </c>
      <c r="E34" s="15">
        <v>1.02813413726</v>
      </c>
      <c r="F34" s="15">
        <v>1.00490955154</v>
      </c>
      <c r="G34" s="15">
        <f t="shared" si="0"/>
        <v>1.73574436916</v>
      </c>
      <c r="H34" s="4">
        <f t="shared" si="1"/>
        <v>0.366667802873605</v>
      </c>
      <c r="I34" s="15">
        <v>2.8308240483</v>
      </c>
      <c r="J34" s="15">
        <f>表1[[#This Row],[期末权益(万元）]]-I33</f>
        <v>0.0338250411999996</v>
      </c>
      <c r="K34" s="6">
        <f>表1[[#This Row],[权益变动(万元）]]/I33</f>
        <v>0.012093333288334</v>
      </c>
      <c r="L34" s="5">
        <v>1536.272421</v>
      </c>
      <c r="M34" s="5">
        <v>-1095.4135</v>
      </c>
      <c r="N34" s="7">
        <v>3.18832</v>
      </c>
      <c r="O34" s="7">
        <v>13.113</v>
      </c>
      <c r="P34" s="7">
        <v>2.6226</v>
      </c>
      <c r="Q34" s="4">
        <f>表1[[#This Row],[日均成交量（万手）]]/表1[[#This Row],[日均持仓量（万手）]]</f>
        <v>0.822564861745371</v>
      </c>
      <c r="R34">
        <v>5</v>
      </c>
      <c r="S34" s="5">
        <v>83</v>
      </c>
      <c r="T34" s="5">
        <f t="shared" si="2"/>
        <v>3074</v>
      </c>
      <c r="U34">
        <v>439</v>
      </c>
      <c r="V34">
        <v>2</v>
      </c>
      <c r="W34" s="16">
        <v>108.303009</v>
      </c>
      <c r="X34" s="16">
        <v>47.894575</v>
      </c>
      <c r="Y34">
        <v>30000</v>
      </c>
      <c r="Z34">
        <v>0</v>
      </c>
    </row>
    <row r="35" spans="1:26">
      <c r="A35" s="2" t="s">
        <v>59</v>
      </c>
      <c r="B35" s="15">
        <v>2.9025708793</v>
      </c>
      <c r="C35" s="15">
        <v>0.62708826306</v>
      </c>
      <c r="D35" s="15">
        <v>1.2141525699</v>
      </c>
      <c r="E35" s="15">
        <v>1.06133004634</v>
      </c>
      <c r="F35" s="15">
        <v>1.0395542269</v>
      </c>
      <c r="G35" s="15">
        <f t="shared" si="0"/>
        <v>1.8630166524</v>
      </c>
      <c r="H35" s="4">
        <f t="shared" si="1"/>
        <v>0.358149471667925</v>
      </c>
      <c r="I35" s="15">
        <v>2.8648604391</v>
      </c>
      <c r="J35" s="15">
        <f>表1[[#This Row],[期末权益(万元）]]-I34</f>
        <v>0.0340363908000003</v>
      </c>
      <c r="K35" s="6">
        <f>表1[[#This Row],[权益变动(万元）]]/I34</f>
        <v>0.0120234921772832</v>
      </c>
      <c r="L35" s="5">
        <v>904.945222</v>
      </c>
      <c r="M35" s="5">
        <v>-452.539</v>
      </c>
      <c r="N35" s="7">
        <v>3.58268</v>
      </c>
      <c r="O35" s="7">
        <v>9.9618</v>
      </c>
      <c r="P35" s="7">
        <v>1.99236</v>
      </c>
      <c r="Q35" s="4">
        <f>表1[[#This Row],[日均成交量（万手）]]/表1[[#This Row],[日均持仓量（万手）]]</f>
        <v>0.556108834727076</v>
      </c>
      <c r="R35">
        <v>5</v>
      </c>
      <c r="S35" s="5">
        <v>88</v>
      </c>
      <c r="T35" s="5">
        <f t="shared" si="2"/>
        <v>3162</v>
      </c>
      <c r="U35">
        <v>474</v>
      </c>
      <c r="V35">
        <v>0</v>
      </c>
      <c r="W35" s="16">
        <v>101.718814</v>
      </c>
      <c r="X35" s="16">
        <v>53.200822</v>
      </c>
      <c r="Y35">
        <v>30000</v>
      </c>
      <c r="Z35">
        <v>0</v>
      </c>
    </row>
    <row r="36" spans="1:26">
      <c r="A36" s="2" t="s">
        <v>60</v>
      </c>
      <c r="B36" s="15">
        <v>3.05160591374</v>
      </c>
      <c r="C36" s="15">
        <v>0.6465823767</v>
      </c>
      <c r="D36" s="15">
        <v>1.24073699024</v>
      </c>
      <c r="E36" s="15">
        <v>1.1642865468</v>
      </c>
      <c r="F36" s="15">
        <v>1.14161781276</v>
      </c>
      <c r="G36" s="15">
        <f t="shared" si="0"/>
        <v>1.90998810098</v>
      </c>
      <c r="H36" s="4">
        <f t="shared" si="1"/>
        <v>0.374103945604448</v>
      </c>
      <c r="I36" s="15">
        <v>3.203271149</v>
      </c>
      <c r="J36" s="15">
        <f>表1[[#This Row],[期末权益(万元）]]-I35</f>
        <v>0.3384107099</v>
      </c>
      <c r="K36" s="6">
        <f>表1[[#This Row],[权益变动(万元）]]/I35</f>
        <v>0.118124675562315</v>
      </c>
      <c r="L36" s="5">
        <v>3971.811141</v>
      </c>
      <c r="M36" s="5">
        <v>-434.437</v>
      </c>
      <c r="N36" s="7">
        <v>3.63954</v>
      </c>
      <c r="O36" s="7">
        <v>16.5916</v>
      </c>
      <c r="P36" s="7">
        <v>3.31832</v>
      </c>
      <c r="Q36" s="4">
        <f>表1[[#This Row],[日均成交量（万手）]]/表1[[#This Row],[日均持仓量（万手）]]</f>
        <v>0.911741593717887</v>
      </c>
      <c r="R36">
        <v>5</v>
      </c>
      <c r="S36" s="5">
        <v>80</v>
      </c>
      <c r="T36" s="5">
        <f t="shared" si="2"/>
        <v>3240</v>
      </c>
      <c r="U36">
        <v>481</v>
      </c>
      <c r="V36">
        <v>2</v>
      </c>
      <c r="W36" s="16">
        <v>134.569242</v>
      </c>
      <c r="X36" s="16">
        <v>58.558473</v>
      </c>
      <c r="Y36">
        <v>30000</v>
      </c>
      <c r="Z36">
        <v>0</v>
      </c>
    </row>
    <row r="37" spans="1:26">
      <c r="A37" s="2" t="s">
        <v>61</v>
      </c>
      <c r="B37" s="15">
        <v>3.52588350292</v>
      </c>
      <c r="C37" s="15">
        <v>0.82786165204</v>
      </c>
      <c r="D37" s="15">
        <v>1.26155151972</v>
      </c>
      <c r="E37" s="15">
        <v>1.43647033116</v>
      </c>
      <c r="F37" s="15">
        <v>1.41048475974</v>
      </c>
      <c r="G37" s="15">
        <f t="shared" si="0"/>
        <v>2.11539874318</v>
      </c>
      <c r="H37" s="4">
        <f t="shared" si="1"/>
        <v>0.400037255505433</v>
      </c>
      <c r="I37" s="15">
        <v>3.6209853195</v>
      </c>
      <c r="J37" s="15">
        <f>表1[[#This Row],[期末权益(万元）]]-I36</f>
        <v>0.4177141705</v>
      </c>
      <c r="K37" s="6">
        <f>表1[[#This Row],[权益变动(万元）]]/I36</f>
        <v>0.13040237653013</v>
      </c>
      <c r="L37" s="5">
        <v>5419.689945</v>
      </c>
      <c r="M37" s="5">
        <v>-1022.438</v>
      </c>
      <c r="N37" s="7">
        <v>4.93456</v>
      </c>
      <c r="O37" s="7">
        <v>17.5528</v>
      </c>
      <c r="P37" s="7">
        <v>3.51056</v>
      </c>
      <c r="Q37" s="4">
        <f>表1[[#This Row],[日均成交量（万手）]]/表1[[#This Row],[日均持仓量（万手）]]</f>
        <v>0.711423105606174</v>
      </c>
      <c r="R37">
        <v>5</v>
      </c>
      <c r="S37" s="5">
        <v>87</v>
      </c>
      <c r="T37" s="5">
        <f t="shared" si="2"/>
        <v>3325</v>
      </c>
      <c r="U37">
        <v>505</v>
      </c>
      <c r="V37">
        <v>2</v>
      </c>
      <c r="W37" s="16">
        <v>150.44084</v>
      </c>
      <c r="X37" s="16">
        <v>78.27818</v>
      </c>
      <c r="Y37">
        <v>30000</v>
      </c>
      <c r="Z37">
        <v>0</v>
      </c>
    </row>
    <row r="38" spans="1:26">
      <c r="A38" s="2" t="s">
        <v>62</v>
      </c>
      <c r="B38" s="15">
        <v>3.527561757566</v>
      </c>
      <c r="C38" s="15">
        <v>0.834771928633</v>
      </c>
      <c r="D38" s="15">
        <v>1.147766894633</v>
      </c>
      <c r="E38" s="15">
        <v>1.5450229343</v>
      </c>
      <c r="F38" s="15">
        <v>1.518197310767</v>
      </c>
      <c r="G38" s="15">
        <f t="shared" si="0"/>
        <v>2.009364446799</v>
      </c>
      <c r="H38" s="4">
        <f t="shared" si="1"/>
        <v>0.430381497222758</v>
      </c>
      <c r="I38" s="15">
        <v>3.6375008422</v>
      </c>
      <c r="J38" s="15">
        <f>表1[[#This Row],[期末权益(万元）]]-I37</f>
        <v>0.0165155227000002</v>
      </c>
      <c r="K38" s="6">
        <f>表1[[#This Row],[权益变动(万元）]]/I37</f>
        <v>0.00456105762458069</v>
      </c>
      <c r="L38" s="5">
        <v>54.6023239999998</v>
      </c>
      <c r="M38" s="5">
        <v>179.707</v>
      </c>
      <c r="N38" s="7">
        <v>4.99386666666667</v>
      </c>
      <c r="O38" s="7">
        <v>7.0571</v>
      </c>
      <c r="P38" s="7">
        <v>2.35236666666667</v>
      </c>
      <c r="Q38" s="4">
        <f>表1[[#This Row],[日均成交量（万手）]]/表1[[#This Row],[日均持仓量（万手）]]</f>
        <v>0.471051156084798</v>
      </c>
      <c r="R38">
        <v>3</v>
      </c>
      <c r="S38" s="5">
        <v>30</v>
      </c>
      <c r="T38" s="5">
        <f t="shared" si="2"/>
        <v>3355</v>
      </c>
      <c r="U38">
        <v>478</v>
      </c>
      <c r="V38">
        <v>0</v>
      </c>
      <c r="W38" s="16">
        <v>69.987347</v>
      </c>
      <c r="X38" s="16">
        <v>40.206708</v>
      </c>
      <c r="Y38">
        <v>30000</v>
      </c>
      <c r="Z38">
        <v>0</v>
      </c>
    </row>
    <row r="39" spans="1:26">
      <c r="A39" s="2" t="s">
        <v>63</v>
      </c>
      <c r="B39" s="15">
        <v>3.6285851844</v>
      </c>
      <c r="C39" s="15">
        <v>0.83243561954</v>
      </c>
      <c r="D39" s="15">
        <v>1.12579344958</v>
      </c>
      <c r="E39" s="15">
        <v>1.67035611528</v>
      </c>
      <c r="F39" s="15">
        <v>1.6438484784</v>
      </c>
      <c r="G39" s="15">
        <f t="shared" si="0"/>
        <v>1.984736706</v>
      </c>
      <c r="H39" s="4">
        <f t="shared" si="1"/>
        <v>0.453027390804335</v>
      </c>
      <c r="I39" s="15">
        <v>3.6210482959</v>
      </c>
      <c r="J39" s="15">
        <f>表1[[#This Row],[期末权益(万元）]]-I38</f>
        <v>-0.0164525463</v>
      </c>
      <c r="K39" s="6">
        <f>表1[[#This Row],[权益变动(万元）]]/I38</f>
        <v>-0.00452303573627473</v>
      </c>
      <c r="L39" s="5">
        <v>-1049.330035</v>
      </c>
      <c r="M39" s="5">
        <v>1115.0695</v>
      </c>
      <c r="N39" s="7">
        <v>4.7533</v>
      </c>
      <c r="O39" s="7">
        <v>18.1563</v>
      </c>
      <c r="P39" s="7">
        <v>3.63126</v>
      </c>
      <c r="Q39" s="4">
        <f>表1[[#This Row],[日均成交量（万手）]]/表1[[#This Row],[日均持仓量（万手）]]</f>
        <v>0.763945048703006</v>
      </c>
      <c r="R39">
        <v>5</v>
      </c>
      <c r="S39" s="5">
        <v>78</v>
      </c>
      <c r="T39" s="5">
        <f t="shared" si="2"/>
        <v>3432</v>
      </c>
      <c r="U39">
        <v>513</v>
      </c>
      <c r="V39">
        <v>1</v>
      </c>
      <c r="W39" s="16">
        <v>200.921978</v>
      </c>
      <c r="X39" s="16">
        <v>95.887746</v>
      </c>
      <c r="Y39">
        <v>30000</v>
      </c>
      <c r="Z39">
        <v>0</v>
      </c>
    </row>
    <row r="40" spans="1:26">
      <c r="A40" s="2" t="s">
        <v>64</v>
      </c>
      <c r="B40" s="15">
        <v>3.73151165712</v>
      </c>
      <c r="C40" s="15">
        <v>0.90457357692</v>
      </c>
      <c r="D40" s="15">
        <v>1.15440708014</v>
      </c>
      <c r="E40" s="15">
        <v>1.67253100006</v>
      </c>
      <c r="F40" s="15">
        <v>1.62249025312</v>
      </c>
      <c r="G40" s="15">
        <f t="shared" si="0"/>
        <v>2.109021404</v>
      </c>
      <c r="H40" s="4">
        <f t="shared" si="1"/>
        <v>0.434807767523429</v>
      </c>
      <c r="I40" s="15">
        <v>3.7111134644</v>
      </c>
      <c r="J40" s="15">
        <f>表1[[#This Row],[期末权益(万元）]]-I39</f>
        <v>0.0900651684999998</v>
      </c>
      <c r="K40" s="6">
        <f>表1[[#This Row],[权益变动(万元）]]/I39</f>
        <v>0.0248726780589968</v>
      </c>
      <c r="L40" s="5">
        <v>-967.690331</v>
      </c>
      <c r="M40" s="5">
        <v>2135.5355</v>
      </c>
      <c r="N40" s="7">
        <v>4.79198</v>
      </c>
      <c r="O40" s="7">
        <v>11.7716</v>
      </c>
      <c r="P40" s="7">
        <v>2.35432</v>
      </c>
      <c r="Q40" s="4">
        <f>表1[[#This Row],[日均成交量（万手）]]/表1[[#This Row],[日均持仓量（万手）]]</f>
        <v>0.491304220802257</v>
      </c>
      <c r="R40">
        <v>5</v>
      </c>
      <c r="S40" s="5">
        <v>81</v>
      </c>
      <c r="T40" s="5">
        <f t="shared" si="2"/>
        <v>3513</v>
      </c>
      <c r="U40">
        <v>513</v>
      </c>
      <c r="V40">
        <v>0</v>
      </c>
      <c r="W40" s="16">
        <v>150.172684</v>
      </c>
      <c r="X40" s="16">
        <v>75.154761</v>
      </c>
      <c r="Y40">
        <v>30000</v>
      </c>
      <c r="Z40">
        <v>0</v>
      </c>
    </row>
    <row r="41" spans="1:26">
      <c r="A41" s="2" t="s">
        <v>65</v>
      </c>
      <c r="B41" s="15">
        <v>4.15345965882</v>
      </c>
      <c r="C41" s="15">
        <v>1.06599694188</v>
      </c>
      <c r="D41" s="15">
        <v>1.14066956276</v>
      </c>
      <c r="E41" s="15">
        <v>1.94679315418</v>
      </c>
      <c r="F41" s="15">
        <v>1.8728789598</v>
      </c>
      <c r="G41" s="15">
        <f t="shared" si="0"/>
        <v>2.28058069902</v>
      </c>
      <c r="H41" s="4">
        <f t="shared" si="1"/>
        <v>0.450920224016835</v>
      </c>
      <c r="I41" s="15">
        <v>4.2523453614</v>
      </c>
      <c r="J41" s="15">
        <f>表1[[#This Row],[期末权益(万元）]]-I40</f>
        <v>0.541231897</v>
      </c>
      <c r="K41" s="6">
        <f>表1[[#This Row],[权益变动(万元）]]/I40</f>
        <v>0.145840837848784</v>
      </c>
      <c r="L41" s="5">
        <v>7680.864443</v>
      </c>
      <c r="M41" s="5">
        <v>-2048.4349</v>
      </c>
      <c r="N41" s="7">
        <v>4.57676</v>
      </c>
      <c r="O41" s="7">
        <v>20.7699</v>
      </c>
      <c r="P41" s="7">
        <v>4.15398</v>
      </c>
      <c r="Q41" s="4">
        <f>表1[[#This Row],[日均成交量（万手）]]/表1[[#This Row],[日均持仓量（万手）]]</f>
        <v>0.907624607801152</v>
      </c>
      <c r="R41">
        <v>5</v>
      </c>
      <c r="S41" s="5">
        <v>59</v>
      </c>
      <c r="T41" s="5">
        <f t="shared" si="2"/>
        <v>3571</v>
      </c>
      <c r="U41">
        <v>534</v>
      </c>
      <c r="V41">
        <v>1</v>
      </c>
      <c r="W41" s="16">
        <v>219.066823</v>
      </c>
      <c r="X41" s="16">
        <v>93.909505</v>
      </c>
      <c r="Y41">
        <v>30000</v>
      </c>
      <c r="Z41">
        <v>0</v>
      </c>
    </row>
    <row r="42" spans="1:26">
      <c r="A42" s="2" t="s">
        <v>66</v>
      </c>
      <c r="B42" s="15">
        <v>4.6873205683</v>
      </c>
      <c r="C42" s="15">
        <v>1.79547119798</v>
      </c>
      <c r="D42" s="15">
        <v>1.10183679692</v>
      </c>
      <c r="E42" s="15">
        <v>1.7900125734</v>
      </c>
      <c r="F42" s="15">
        <v>1.71555072014</v>
      </c>
      <c r="G42" s="15">
        <f t="shared" si="0"/>
        <v>2.97176984816</v>
      </c>
      <c r="H42" s="4">
        <f t="shared" si="1"/>
        <v>0.365998163586707</v>
      </c>
      <c r="I42" s="15">
        <v>4.9313263898</v>
      </c>
      <c r="J42" s="15">
        <f>表1[[#This Row],[期末权益(万元）]]-I41</f>
        <v>0.6789810284</v>
      </c>
      <c r="K42" s="6">
        <f>表1[[#This Row],[权益变动(万元）]]/I41</f>
        <v>0.159672126954538</v>
      </c>
      <c r="L42" s="5">
        <v>6692.290467</v>
      </c>
      <c r="M42" s="5">
        <v>299.0645</v>
      </c>
      <c r="N42" s="7">
        <v>4.05966</v>
      </c>
      <c r="O42" s="7">
        <v>14.5218</v>
      </c>
      <c r="P42" s="7">
        <v>2.90436</v>
      </c>
      <c r="Q42" s="4">
        <f>表1[[#This Row],[日均成交量（万手）]]/表1[[#This Row],[日均持仓量（万手）]]</f>
        <v>0.715419517890661</v>
      </c>
      <c r="R42">
        <v>5</v>
      </c>
      <c r="S42" s="5">
        <v>65</v>
      </c>
      <c r="T42" s="5">
        <f t="shared" si="2"/>
        <v>3634</v>
      </c>
      <c r="U42">
        <v>501</v>
      </c>
      <c r="V42">
        <v>2</v>
      </c>
      <c r="W42" s="16">
        <v>171.286683</v>
      </c>
      <c r="X42" s="16">
        <v>78.261934</v>
      </c>
      <c r="Y42">
        <v>30000</v>
      </c>
      <c r="Z42">
        <v>0</v>
      </c>
    </row>
    <row r="43" spans="1:26">
      <c r="A43" s="2" t="s">
        <v>67</v>
      </c>
      <c r="B43" s="15">
        <v>4.73326942518</v>
      </c>
      <c r="C43" s="15">
        <v>1.76120308848</v>
      </c>
      <c r="D43" s="15">
        <v>1.1064514239</v>
      </c>
      <c r="E43" s="15">
        <v>1.8656149128</v>
      </c>
      <c r="F43" s="15">
        <v>1.7889318891</v>
      </c>
      <c r="G43" s="15">
        <f t="shared" si="0"/>
        <v>2.94433753608</v>
      </c>
      <c r="H43" s="4">
        <f t="shared" si="1"/>
        <v>0.37794845980735</v>
      </c>
      <c r="I43" s="15">
        <v>4.8845581851</v>
      </c>
      <c r="J43" s="15">
        <f>表1[[#This Row],[期末权益(万元）]]-I42</f>
        <v>-0.0467682046999993</v>
      </c>
      <c r="K43" s="6">
        <f>表1[[#This Row],[权益变动(万元）]]/I42</f>
        <v>-0.00948389966576439</v>
      </c>
      <c r="L43" s="5">
        <v>2.90024399999976</v>
      </c>
      <c r="M43" s="5">
        <v>-284.953</v>
      </c>
      <c r="N43" s="7">
        <v>4.4231</v>
      </c>
      <c r="O43" s="7">
        <v>15.6777</v>
      </c>
      <c r="P43" s="7">
        <v>3.13554</v>
      </c>
      <c r="Q43" s="4">
        <f>表1[[#This Row],[日均成交量（万手）]]/表1[[#This Row],[日均持仓量（万手）]]</f>
        <v>0.708900997038276</v>
      </c>
      <c r="R43">
        <v>5</v>
      </c>
      <c r="S43" s="5">
        <v>63</v>
      </c>
      <c r="T43" s="5">
        <f t="shared" si="2"/>
        <v>3696</v>
      </c>
      <c r="U43">
        <v>523</v>
      </c>
      <c r="V43">
        <v>1</v>
      </c>
      <c r="W43" s="16">
        <v>159.625091</v>
      </c>
      <c r="X43" s="16">
        <v>79.601111</v>
      </c>
      <c r="Y43">
        <v>30000</v>
      </c>
      <c r="Z43">
        <v>0</v>
      </c>
    </row>
    <row r="44" spans="1:26">
      <c r="A44" s="2" t="s">
        <v>68</v>
      </c>
      <c r="B44" s="15">
        <v>4.53611744702</v>
      </c>
      <c r="C44" s="15">
        <v>1.93113708402</v>
      </c>
      <c r="D44" s="15">
        <v>1.0055913476</v>
      </c>
      <c r="E44" s="15">
        <v>1.5993890154</v>
      </c>
      <c r="F44" s="15">
        <v>1.52223030268</v>
      </c>
      <c r="G44" s="15">
        <f t="shared" si="0"/>
        <v>3.01388714434</v>
      </c>
      <c r="H44" s="4">
        <f t="shared" si="1"/>
        <v>0.335580002162428</v>
      </c>
      <c r="I44" s="15">
        <v>4.4947307985</v>
      </c>
      <c r="J44" s="15">
        <f>表1[[#This Row],[期末权益(万元）]]-I43</f>
        <v>-0.3898273866</v>
      </c>
      <c r="K44" s="6">
        <f>表1[[#This Row],[权益变动(万元）]]/I43</f>
        <v>-0.079808116072635</v>
      </c>
      <c r="L44" s="5">
        <v>-3260.68207</v>
      </c>
      <c r="M44" s="5">
        <v>-477.1235</v>
      </c>
      <c r="N44" s="7">
        <v>4.6011</v>
      </c>
      <c r="O44" s="7">
        <v>11.651</v>
      </c>
      <c r="P44" s="7">
        <v>2.3302</v>
      </c>
      <c r="Q44" s="4">
        <f>表1[[#This Row],[日均成交量（万手）]]/表1[[#This Row],[日均持仓量（万手）]]</f>
        <v>0.506444111190802</v>
      </c>
      <c r="R44">
        <v>5</v>
      </c>
      <c r="S44" s="5">
        <v>118</v>
      </c>
      <c r="T44" s="5">
        <f t="shared" si="2"/>
        <v>3814</v>
      </c>
      <c r="U44">
        <v>516</v>
      </c>
      <c r="V44">
        <v>0</v>
      </c>
      <c r="W44" s="16">
        <v>163.997346</v>
      </c>
      <c r="X44" s="16">
        <v>85.65948</v>
      </c>
      <c r="Y44">
        <v>30000</v>
      </c>
      <c r="Z44">
        <v>0</v>
      </c>
    </row>
    <row r="45" spans="1:26">
      <c r="A45" s="2" t="s">
        <v>69</v>
      </c>
      <c r="B45" s="15">
        <v>4.26536747776</v>
      </c>
      <c r="C45" s="15">
        <v>1.95292400776</v>
      </c>
      <c r="D45" s="15">
        <v>1.07201419046</v>
      </c>
      <c r="E45" s="15">
        <v>1.24042927954</v>
      </c>
      <c r="F45" s="15">
        <v>1.1634589042</v>
      </c>
      <c r="G45" s="15">
        <f t="shared" si="0"/>
        <v>3.10190857356</v>
      </c>
      <c r="H45" s="4">
        <f t="shared" si="1"/>
        <v>0.272768738043411</v>
      </c>
      <c r="I45" s="15">
        <v>4.2237732095</v>
      </c>
      <c r="J45" s="15">
        <f>表1[[#This Row],[期末权益(万元）]]-I44</f>
        <v>-0.270957589</v>
      </c>
      <c r="K45" s="6">
        <f>表1[[#This Row],[权益变动(万元）]]/I44</f>
        <v>-0.0602833854010623</v>
      </c>
      <c r="L45" s="5">
        <v>-1510.227185</v>
      </c>
      <c r="M45" s="5">
        <v>-952.8183</v>
      </c>
      <c r="N45" s="7">
        <v>4.96422</v>
      </c>
      <c r="O45" s="7">
        <v>13.0027</v>
      </c>
      <c r="P45" s="7">
        <v>2.60054</v>
      </c>
      <c r="Q45" s="4">
        <f>表1[[#This Row],[日均成交量（万手）]]/表1[[#This Row],[日均持仓量（万手）]]</f>
        <v>0.523856718678866</v>
      </c>
      <c r="R45">
        <v>5</v>
      </c>
      <c r="S45" s="5">
        <v>115</v>
      </c>
      <c r="T45" s="5">
        <f t="shared" si="2"/>
        <v>3927</v>
      </c>
      <c r="U45">
        <v>565</v>
      </c>
      <c r="V45">
        <v>2</v>
      </c>
      <c r="W45" s="16">
        <v>218.421955</v>
      </c>
      <c r="X45" s="16">
        <v>88.625116</v>
      </c>
      <c r="Y45">
        <v>30000</v>
      </c>
      <c r="Z45">
        <v>0</v>
      </c>
    </row>
    <row r="46" spans="1:26">
      <c r="A46" s="2" t="s">
        <v>70</v>
      </c>
      <c r="B46" s="15">
        <v>4.30703691874</v>
      </c>
      <c r="C46" s="15">
        <v>1.98835625596</v>
      </c>
      <c r="D46" s="15">
        <v>1.0839536944</v>
      </c>
      <c r="E46" s="15">
        <v>1.23472696838</v>
      </c>
      <c r="F46" s="15">
        <v>1.15752917654</v>
      </c>
      <c r="G46" s="15">
        <f t="shared" si="0"/>
        <v>3.1495077422</v>
      </c>
      <c r="H46" s="4">
        <f t="shared" si="1"/>
        <v>0.268753019391027</v>
      </c>
      <c r="I46" s="15">
        <v>4.7134241937</v>
      </c>
      <c r="J46" s="15">
        <f>表1[[#This Row],[期末权益(万元）]]-I45</f>
        <v>0.4896509842</v>
      </c>
      <c r="K46" s="6">
        <f>表1[[#This Row],[权益变动(万元）]]/I45</f>
        <v>0.115927385281646</v>
      </c>
      <c r="L46" s="5">
        <v>4454.869266</v>
      </c>
      <c r="M46" s="5">
        <v>587.909</v>
      </c>
      <c r="N46" s="7">
        <v>4.98812</v>
      </c>
      <c r="O46" s="7">
        <v>7.9456</v>
      </c>
      <c r="P46" s="7">
        <v>1.58912</v>
      </c>
      <c r="Q46" s="4">
        <f>表1[[#This Row],[日均成交量（万手）]]/表1[[#This Row],[日均持仓量（万手）]]</f>
        <v>0.31858094833324</v>
      </c>
      <c r="R46">
        <v>5</v>
      </c>
      <c r="S46" s="17">
        <v>62</v>
      </c>
      <c r="T46" s="5">
        <f t="shared" si="2"/>
        <v>3989</v>
      </c>
      <c r="U46">
        <v>549</v>
      </c>
      <c r="V46">
        <v>0</v>
      </c>
      <c r="W46" s="16">
        <v>133.506174</v>
      </c>
      <c r="X46" s="16">
        <v>65.475995</v>
      </c>
      <c r="Y46">
        <v>30000</v>
      </c>
      <c r="Z46">
        <v>0</v>
      </c>
    </row>
    <row r="47" spans="1:26">
      <c r="A47" s="2" t="s">
        <v>71</v>
      </c>
      <c r="B47" s="15">
        <v>4.065267151</v>
      </c>
      <c r="C47" s="15">
        <v>1.6257105909</v>
      </c>
      <c r="D47" s="15">
        <v>1.0690843581</v>
      </c>
      <c r="E47" s="15">
        <v>1.370472202</v>
      </c>
      <c r="F47" s="15">
        <v>1.29417492816</v>
      </c>
      <c r="G47" s="15">
        <f t="shared" si="0"/>
        <v>2.77109222284</v>
      </c>
      <c r="H47" s="4">
        <f t="shared" si="1"/>
        <v>0.318349294176559</v>
      </c>
      <c r="I47" s="15">
        <v>3.1930291889</v>
      </c>
      <c r="J47" s="15">
        <f>表1[[#This Row],[期末权益(万元）]]-I46</f>
        <v>-1.5203950048</v>
      </c>
      <c r="K47" s="6">
        <f>表1[[#This Row],[权益变动(万元）]]/I46</f>
        <v>-0.322566979401551</v>
      </c>
      <c r="L47" s="5">
        <v>-14212.645432</v>
      </c>
      <c r="M47" s="5">
        <v>-860.479</v>
      </c>
      <c r="N47" s="7">
        <v>5.13912</v>
      </c>
      <c r="O47" s="7">
        <v>8.3731</v>
      </c>
      <c r="P47" s="7">
        <v>1.67462</v>
      </c>
      <c r="Q47" s="4">
        <f>表1[[#This Row],[日均成交量（万手）]]/表1[[#This Row],[日均持仓量（万手）]]</f>
        <v>0.32585734522642</v>
      </c>
      <c r="R47">
        <v>5</v>
      </c>
      <c r="S47" s="17">
        <v>46</v>
      </c>
      <c r="T47" s="5">
        <f t="shared" si="2"/>
        <v>4034</v>
      </c>
      <c r="U47">
        <v>551</v>
      </c>
      <c r="V47">
        <v>1</v>
      </c>
      <c r="W47" s="16">
        <v>134.567966</v>
      </c>
      <c r="X47" s="16">
        <v>63.541524</v>
      </c>
      <c r="Y47">
        <v>30000</v>
      </c>
      <c r="Z47">
        <v>0</v>
      </c>
    </row>
    <row r="48" spans="1:26">
      <c r="A48" s="2" t="s">
        <v>72</v>
      </c>
      <c r="B48" s="15">
        <v>4.2058848399</v>
      </c>
      <c r="C48" s="15">
        <v>1.96086177172</v>
      </c>
      <c r="D48" s="15">
        <v>1.05081280768</v>
      </c>
      <c r="E48" s="15">
        <v>1.1942102605</v>
      </c>
      <c r="F48" s="15">
        <v>1.14952671694</v>
      </c>
      <c r="G48" s="15">
        <f t="shared" si="0"/>
        <v>3.05635812296</v>
      </c>
      <c r="H48" s="4">
        <f t="shared" si="1"/>
        <v>0.273313882975296</v>
      </c>
      <c r="I48" s="15">
        <v>4.0755290339</v>
      </c>
      <c r="J48" s="15">
        <f>表1[[#This Row],[期末权益(万元）]]-I47</f>
        <v>0.882499844999999</v>
      </c>
      <c r="K48" s="6">
        <f>表1[[#This Row],[权益变动(万元）]]/I47</f>
        <v>0.276383268924648</v>
      </c>
      <c r="L48" s="5">
        <v>9462.298733</v>
      </c>
      <c r="M48" s="5">
        <v>-531.1975</v>
      </c>
      <c r="N48" s="7">
        <v>5.49084</v>
      </c>
      <c r="O48" s="7">
        <v>9.4108</v>
      </c>
      <c r="P48" s="7">
        <v>1.88216</v>
      </c>
      <c r="Q48" s="4">
        <f>表1[[#This Row],[日均成交量（万手）]]/表1[[#This Row],[日均持仓量（万手）]]</f>
        <v>0.342781796592143</v>
      </c>
      <c r="R48">
        <v>5</v>
      </c>
      <c r="S48" s="17">
        <v>27</v>
      </c>
      <c r="T48" s="5">
        <f t="shared" si="2"/>
        <v>4060</v>
      </c>
      <c r="U48">
        <v>544</v>
      </c>
      <c r="V48">
        <v>1</v>
      </c>
      <c r="W48" s="16">
        <v>110.823033</v>
      </c>
      <c r="X48" s="16">
        <v>48.93454</v>
      </c>
      <c r="Y48">
        <v>30000</v>
      </c>
      <c r="Z48">
        <v>0</v>
      </c>
    </row>
    <row r="49" spans="1:26">
      <c r="A49" s="2" t="s">
        <v>73</v>
      </c>
      <c r="B49" s="15">
        <v>4.12895845768</v>
      </c>
      <c r="C49" s="15">
        <v>1.96468868698</v>
      </c>
      <c r="D49" s="15">
        <v>1.0262772348</v>
      </c>
      <c r="E49" s="15">
        <v>1.1379925359</v>
      </c>
      <c r="F49" s="15">
        <v>1.11521818214</v>
      </c>
      <c r="G49" s="15">
        <f t="shared" si="0"/>
        <v>3.01374027554</v>
      </c>
      <c r="H49" s="4">
        <f t="shared" si="1"/>
        <v>0.270096731069226</v>
      </c>
      <c r="I49" s="15">
        <v>4.082790239</v>
      </c>
      <c r="J49" s="15">
        <f>表1[[#This Row],[期末权益(万元）]]-I48</f>
        <v>0.00726120510000072</v>
      </c>
      <c r="K49" s="6">
        <f>表1[[#This Row],[权益变动(万元）]]/I48</f>
        <v>0.00178165951943968</v>
      </c>
      <c r="L49" s="5">
        <v>-348.551597</v>
      </c>
      <c r="M49" s="5">
        <v>521.9645</v>
      </c>
      <c r="N49" s="7">
        <v>4.52236</v>
      </c>
      <c r="O49" s="7">
        <v>9.3645</v>
      </c>
      <c r="P49" s="7">
        <v>1.8729</v>
      </c>
      <c r="Q49" s="4">
        <f>表1[[#This Row],[日均成交量（万手）]]/表1[[#This Row],[日均持仓量（万手）]]</f>
        <v>0.4141421735554</v>
      </c>
      <c r="R49">
        <v>5</v>
      </c>
      <c r="S49" s="17">
        <v>47</v>
      </c>
      <c r="T49" s="5">
        <f t="shared" si="2"/>
        <v>4106</v>
      </c>
      <c r="U49">
        <v>540</v>
      </c>
      <c r="V49">
        <v>1</v>
      </c>
      <c r="W49" s="16">
        <v>97.733452</v>
      </c>
      <c r="X49" s="16">
        <v>44.591243</v>
      </c>
      <c r="Y49">
        <v>30000</v>
      </c>
      <c r="Z49">
        <v>0</v>
      </c>
    </row>
    <row r="50" spans="1:26">
      <c r="A50" s="2" t="s">
        <v>74</v>
      </c>
      <c r="B50" s="15">
        <v>4.307745149738</v>
      </c>
      <c r="C50" s="15">
        <v>1.993587473838</v>
      </c>
      <c r="D50" s="15">
        <v>1.0702284172</v>
      </c>
      <c r="E50" s="15">
        <v>1.2439292587</v>
      </c>
      <c r="F50" s="15">
        <v>1.22116341138</v>
      </c>
      <c r="G50" s="15">
        <f t="shared" si="0"/>
        <v>3.086581738358</v>
      </c>
      <c r="H50" s="4">
        <f t="shared" si="1"/>
        <v>0.28348088592341</v>
      </c>
      <c r="I50" s="15">
        <v>4.438556514491</v>
      </c>
      <c r="J50" s="15">
        <f>表1[[#This Row],[期末权益(万元）]]-I49</f>
        <v>0.355766275491</v>
      </c>
      <c r="K50" s="6">
        <f>表1[[#This Row],[权益变动(万元）]]/I49</f>
        <v>0.0871380244061076</v>
      </c>
      <c r="L50" s="5">
        <v>2766.05307591</v>
      </c>
      <c r="M50" s="5">
        <v>902.1877</v>
      </c>
      <c r="N50" s="7">
        <v>4.43094</v>
      </c>
      <c r="O50" s="7">
        <v>9.672</v>
      </c>
      <c r="P50" s="7">
        <v>1.9344</v>
      </c>
      <c r="Q50" s="4">
        <f>表1[[#This Row],[日均成交量（万手）]]/表1[[#This Row],[日均持仓量（万手）]]</f>
        <v>0.43656650733253</v>
      </c>
      <c r="R50">
        <v>5</v>
      </c>
      <c r="S50" s="18">
        <v>40</v>
      </c>
      <c r="T50" s="5">
        <f t="shared" si="2"/>
        <v>4146</v>
      </c>
      <c r="U50">
        <v>529</v>
      </c>
      <c r="V50">
        <v>0</v>
      </c>
      <c r="W50" s="16">
        <v>103.252921</v>
      </c>
      <c r="X50" s="16">
        <v>46.27233</v>
      </c>
      <c r="Y50">
        <v>30000</v>
      </c>
      <c r="Z50">
        <v>0</v>
      </c>
    </row>
    <row r="51" spans="1:26">
      <c r="A51" s="2" t="s">
        <v>75</v>
      </c>
      <c r="B51" s="15">
        <v>4.607907343211</v>
      </c>
      <c r="C51" s="15">
        <v>1.985111977911</v>
      </c>
      <c r="D51" s="15">
        <v>1.22607463844</v>
      </c>
      <c r="E51" s="15">
        <v>1.39672072686</v>
      </c>
      <c r="F51" s="15">
        <v>1.3737228964</v>
      </c>
      <c r="G51" s="15">
        <f t="shared" si="0"/>
        <v>3.234184446811</v>
      </c>
      <c r="H51" s="4">
        <f t="shared" si="1"/>
        <v>0.298122942602992</v>
      </c>
      <c r="I51" s="15">
        <v>4.931932195091</v>
      </c>
      <c r="J51" s="15">
        <f>表1[[#This Row],[期末权益(万元）]]-I50</f>
        <v>0.4933756806</v>
      </c>
      <c r="K51" s="6">
        <f>表1[[#This Row],[权益变动(万元）]]/I50</f>
        <v>0.111156786894394</v>
      </c>
      <c r="L51" s="5">
        <v>5497.322475</v>
      </c>
      <c r="M51" s="5">
        <v>-484.5355</v>
      </c>
      <c r="N51" s="7">
        <v>3.73778</v>
      </c>
      <c r="O51" s="7">
        <v>8.8046</v>
      </c>
      <c r="P51" s="7">
        <v>1.76092</v>
      </c>
      <c r="Q51" s="4">
        <f>表1[[#This Row],[日均成交量（万手）]]/表1[[#This Row],[日均持仓量（万手）]]</f>
        <v>0.471113869730161</v>
      </c>
      <c r="R51">
        <v>5</v>
      </c>
      <c r="S51" s="18">
        <v>27</v>
      </c>
      <c r="T51" s="5">
        <f t="shared" si="2"/>
        <v>4171</v>
      </c>
      <c r="U51">
        <v>523</v>
      </c>
      <c r="V51">
        <v>2</v>
      </c>
      <c r="W51" s="16">
        <v>98.417669</v>
      </c>
      <c r="X51" s="16">
        <v>47.879366</v>
      </c>
      <c r="Y51">
        <v>30000</v>
      </c>
      <c r="Z51">
        <v>0</v>
      </c>
    </row>
    <row r="52" spans="1:26">
      <c r="A52" s="2" t="s">
        <v>76</v>
      </c>
      <c r="B52" s="15">
        <v>4.181201300741</v>
      </c>
      <c r="C52" s="15">
        <v>1.717491938016</v>
      </c>
      <c r="D52" s="15">
        <v>1.3013376481</v>
      </c>
      <c r="E52" s="15">
        <v>1.162371714625</v>
      </c>
      <c r="F52" s="15">
        <v>1.1375765762</v>
      </c>
      <c r="G52" s="15">
        <f t="shared" si="0"/>
        <v>3.043624724541</v>
      </c>
      <c r="H52" s="4">
        <f t="shared" si="1"/>
        <v>0.272069315581241</v>
      </c>
      <c r="I52" s="15">
        <v>4.231543006191</v>
      </c>
      <c r="J52" s="15">
        <f>表1[[#This Row],[期末权益(万元）]]-I51</f>
        <v>-0.7003891889</v>
      </c>
      <c r="K52" s="6">
        <f>表1[[#This Row],[权益变动(万元）]]/I51</f>
        <v>-0.142011114750753</v>
      </c>
      <c r="L52" s="5">
        <v>-8527.284716</v>
      </c>
      <c r="M52" s="5">
        <v>1600.8995</v>
      </c>
      <c r="N52" s="7">
        <v>3.537225</v>
      </c>
      <c r="O52" s="7">
        <v>6.5256</v>
      </c>
      <c r="P52" s="7">
        <v>1.6314</v>
      </c>
      <c r="Q52" s="4">
        <f>表1[[#This Row],[日均成交量（万手）]]/表1[[#This Row],[日均持仓量（万手）]]</f>
        <v>0.461208998579395</v>
      </c>
      <c r="R52">
        <v>4</v>
      </c>
      <c r="S52" s="18">
        <v>22</v>
      </c>
      <c r="T52" s="5">
        <f t="shared" si="2"/>
        <v>4191</v>
      </c>
      <c r="U52">
        <v>514</v>
      </c>
      <c r="V52">
        <v>2</v>
      </c>
      <c r="W52" s="16">
        <v>63.811473</v>
      </c>
      <c r="X52" s="16">
        <v>34.076747</v>
      </c>
      <c r="Y52">
        <v>30000</v>
      </c>
      <c r="Z52">
        <v>0</v>
      </c>
    </row>
    <row r="53" spans="1:26">
      <c r="A53" s="2" t="s">
        <v>77</v>
      </c>
      <c r="B53" s="15">
        <v>3.911384932311</v>
      </c>
      <c r="C53" s="15">
        <v>1.886124201431</v>
      </c>
      <c r="D53" s="15">
        <v>1.04199277702</v>
      </c>
      <c r="E53" s="15">
        <v>0.98326795386</v>
      </c>
      <c r="F53" s="15">
        <v>0.9353053843</v>
      </c>
      <c r="G53" s="15">
        <f t="shared" si="0"/>
        <v>2.976079548011</v>
      </c>
      <c r="H53" s="4">
        <f t="shared" si="1"/>
        <v>0.239123839889465</v>
      </c>
      <c r="I53" s="15">
        <v>3.898951007491</v>
      </c>
      <c r="J53" s="15">
        <f>表1[[#This Row],[期末权益(万元）]]-I52</f>
        <v>-0.3325919987</v>
      </c>
      <c r="K53" s="6">
        <f>表1[[#This Row],[权益变动(万元）]]/I52</f>
        <v>-0.0785982792124287</v>
      </c>
      <c r="L53" s="5">
        <v>-3695.932635</v>
      </c>
      <c r="M53" s="5">
        <v>479.0585</v>
      </c>
      <c r="N53" s="7">
        <v>3.66482</v>
      </c>
      <c r="O53" s="7">
        <v>8.3807</v>
      </c>
      <c r="P53" s="7">
        <v>1.67614</v>
      </c>
      <c r="Q53" s="4">
        <f>表1[[#This Row],[日均成交量（万手）]]/表1[[#This Row],[日均持仓量（万手）]]</f>
        <v>0.45735943375118</v>
      </c>
      <c r="R53">
        <v>5</v>
      </c>
      <c r="S53" s="18">
        <v>37</v>
      </c>
      <c r="T53" s="5">
        <f t="shared" si="2"/>
        <v>4227</v>
      </c>
      <c r="U53">
        <v>513</v>
      </c>
      <c r="V53">
        <v>1</v>
      </c>
      <c r="W53" s="16">
        <v>83.409302</v>
      </c>
      <c r="X53" s="16">
        <v>45.834664</v>
      </c>
      <c r="Y53">
        <v>30000</v>
      </c>
      <c r="Z53">
        <v>0</v>
      </c>
    </row>
    <row r="54" spans="1:26">
      <c r="A54" s="2" t="s">
        <v>78</v>
      </c>
      <c r="B54" s="15">
        <v>4.052144861071</v>
      </c>
      <c r="C54" s="15">
        <v>1.842469016351</v>
      </c>
      <c r="D54" s="15">
        <v>1.11495692006</v>
      </c>
      <c r="E54" s="15">
        <v>1.09471892466</v>
      </c>
      <c r="F54" s="15">
        <v>1.04122544016</v>
      </c>
      <c r="G54" s="15">
        <f t="shared" si="0"/>
        <v>3.010919420911</v>
      </c>
      <c r="H54" s="4">
        <f t="shared" si="1"/>
        <v>0.25695661825002</v>
      </c>
      <c r="I54" s="15">
        <v>4.169348359291</v>
      </c>
      <c r="J54" s="15">
        <f>表1[[#This Row],[期末权益(万元）]]-I53</f>
        <v>0.2703973518</v>
      </c>
      <c r="K54" s="6">
        <f>表1[[#This Row],[权益变动(万元）]]/I53</f>
        <v>0.0693513078980703</v>
      </c>
      <c r="L54" s="5">
        <v>1694.352189</v>
      </c>
      <c r="M54" s="5">
        <v>1088.9045</v>
      </c>
      <c r="N54" s="7">
        <v>4.20814</v>
      </c>
      <c r="O54" s="7">
        <v>8.8402</v>
      </c>
      <c r="P54" s="7">
        <v>1.76804</v>
      </c>
      <c r="Q54" s="4">
        <f>表1[[#This Row],[日均成交量（万手）]]/表1[[#This Row],[日均持仓量（万手）]]</f>
        <v>0.420147618662877</v>
      </c>
      <c r="R54">
        <v>5</v>
      </c>
      <c r="S54" s="18">
        <v>46</v>
      </c>
      <c r="T54" s="5">
        <f t="shared" si="2"/>
        <v>4272</v>
      </c>
      <c r="U54">
        <v>520</v>
      </c>
      <c r="V54">
        <v>1</v>
      </c>
      <c r="W54" s="16">
        <v>120.205171</v>
      </c>
      <c r="X54" s="16">
        <v>71.847956</v>
      </c>
      <c r="Y54">
        <v>30000</v>
      </c>
      <c r="Z54">
        <v>0</v>
      </c>
    </row>
    <row r="55" spans="1:26">
      <c r="A55" s="2" t="s">
        <v>79</v>
      </c>
      <c r="B55" s="15">
        <v>4.316133873991</v>
      </c>
      <c r="C55" s="15">
        <v>1.947397184811</v>
      </c>
      <c r="D55" s="15">
        <v>1.22688880056</v>
      </c>
      <c r="E55" s="15">
        <v>1.14184788862</v>
      </c>
      <c r="F55" s="15">
        <v>1.09594725924</v>
      </c>
      <c r="G55" s="15">
        <f t="shared" si="0"/>
        <v>3.220186614751</v>
      </c>
      <c r="H55" s="4">
        <f t="shared" si="1"/>
        <v>0.253918736358984</v>
      </c>
      <c r="I55" s="15">
        <v>4.530665949791</v>
      </c>
      <c r="J55" s="15">
        <f>表1[[#This Row],[期末权益(万元）]]-I54</f>
        <v>0.3613175905</v>
      </c>
      <c r="K55" s="6">
        <f>表1[[#This Row],[权益变动(万元）]]/I54</f>
        <v>0.086660446516741</v>
      </c>
      <c r="L55" s="5">
        <v>4251.076311</v>
      </c>
      <c r="M55" s="5">
        <v>-558.426</v>
      </c>
      <c r="N55" s="7">
        <v>4.32176</v>
      </c>
      <c r="O55" s="7">
        <v>6.5851</v>
      </c>
      <c r="P55" s="7">
        <v>1.31702</v>
      </c>
      <c r="Q55" s="4">
        <f>表1[[#This Row],[日均成交量（万手）]]/表1[[#This Row],[日均持仓量（万手）]]</f>
        <v>0.304741586760949</v>
      </c>
      <c r="R55">
        <v>5</v>
      </c>
      <c r="S55" s="18">
        <v>22</v>
      </c>
      <c r="T55" s="5">
        <f t="shared" si="2"/>
        <v>4293</v>
      </c>
      <c r="U55">
        <v>490</v>
      </c>
      <c r="V55">
        <v>1</v>
      </c>
      <c r="W55" s="16">
        <v>88.933106</v>
      </c>
      <c r="X55" s="16">
        <v>53.606238</v>
      </c>
      <c r="Y55">
        <v>30000</v>
      </c>
      <c r="Z55">
        <v>0</v>
      </c>
    </row>
    <row r="56" spans="1:26">
      <c r="A56" s="2" t="s">
        <v>80</v>
      </c>
      <c r="B56" s="15">
        <v>4.121066182641</v>
      </c>
      <c r="C56" s="15">
        <v>1.744944217291</v>
      </c>
      <c r="D56" s="15">
        <v>1.169718794325</v>
      </c>
      <c r="E56" s="15">
        <v>1.206403171025</v>
      </c>
      <c r="F56" s="15">
        <v>1.166727205375</v>
      </c>
      <c r="G56" s="15">
        <f t="shared" si="0"/>
        <v>2.954338977266</v>
      </c>
      <c r="H56" s="4">
        <f t="shared" si="1"/>
        <v>0.283112950306296</v>
      </c>
      <c r="I56" s="15">
        <v>4.195297962691</v>
      </c>
      <c r="J56" s="15">
        <f>表1[[#This Row],[期末权益(万元）]]-I55</f>
        <v>-0.3353679871</v>
      </c>
      <c r="K56" s="6">
        <f>表1[[#This Row],[权益变动(万元）]]/I55</f>
        <v>-0.0740217863811986</v>
      </c>
      <c r="L56" s="5">
        <v>-3065.000546</v>
      </c>
      <c r="M56" s="5">
        <v>-248.067</v>
      </c>
      <c r="N56" s="7">
        <v>4.512925</v>
      </c>
      <c r="O56" s="7">
        <v>4.5904</v>
      </c>
      <c r="P56" s="7">
        <v>1.1476</v>
      </c>
      <c r="Q56" s="4">
        <f>表1[[#This Row],[日均成交量（万手）]]/表1[[#This Row],[日均持仓量（万手）]]</f>
        <v>0.254291839549738</v>
      </c>
      <c r="R56">
        <v>4</v>
      </c>
      <c r="S56" s="18">
        <v>20</v>
      </c>
      <c r="T56" s="5">
        <f t="shared" si="2"/>
        <v>4313</v>
      </c>
      <c r="U56">
        <v>453</v>
      </c>
      <c r="V56">
        <v>0</v>
      </c>
      <c r="W56" s="16">
        <v>49.207025</v>
      </c>
      <c r="X56" s="16">
        <v>26.417232</v>
      </c>
      <c r="Y56">
        <v>30000</v>
      </c>
      <c r="Z56">
        <v>0</v>
      </c>
    </row>
    <row r="57" spans="1:26">
      <c r="A57" s="2" t="s">
        <v>81</v>
      </c>
      <c r="B57" s="15">
        <v>4.190484926971</v>
      </c>
      <c r="C57" s="15">
        <v>1.978641866791</v>
      </c>
      <c r="D57" s="15">
        <v>1.09471821854</v>
      </c>
      <c r="E57" s="15">
        <v>1.11712484164</v>
      </c>
      <c r="F57" s="15">
        <v>1.0642049874</v>
      </c>
      <c r="G57" s="15">
        <f t="shared" si="0"/>
        <v>3.126279939571</v>
      </c>
      <c r="H57" s="4">
        <f t="shared" si="1"/>
        <v>0.253957478894749</v>
      </c>
      <c r="I57" s="15">
        <v>4.043747956591</v>
      </c>
      <c r="J57" s="15">
        <f>表1[[#This Row],[期末权益(万元）]]-I56</f>
        <v>-0.1515500061</v>
      </c>
      <c r="K57" s="6">
        <f>表1[[#This Row],[权益变动(万元）]]/I56</f>
        <v>-0.0361237765345255</v>
      </c>
      <c r="L57" s="5">
        <v>-1402.991917</v>
      </c>
      <c r="M57" s="5">
        <v>-40.3725</v>
      </c>
      <c r="N57" s="7">
        <v>4.11358</v>
      </c>
      <c r="O57" s="7">
        <v>7.2769</v>
      </c>
      <c r="P57" s="7">
        <v>1.45538</v>
      </c>
      <c r="Q57" s="4">
        <f>表1[[#This Row],[日均成交量（万手）]]/表1[[#This Row],[日均持仓量（万手）]]</f>
        <v>0.353798880780245</v>
      </c>
      <c r="R57">
        <v>5</v>
      </c>
      <c r="S57" s="18">
        <v>53</v>
      </c>
      <c r="T57" s="5">
        <f t="shared" si="2"/>
        <v>4365</v>
      </c>
      <c r="U57">
        <v>505</v>
      </c>
      <c r="V57">
        <v>1</v>
      </c>
      <c r="W57" s="16">
        <v>78.918094</v>
      </c>
      <c r="X57" s="16">
        <v>44.284245</v>
      </c>
      <c r="Y57">
        <v>30000</v>
      </c>
      <c r="Z57">
        <v>0</v>
      </c>
    </row>
    <row r="58" spans="1:26">
      <c r="A58" s="2" t="s">
        <v>82</v>
      </c>
      <c r="B58" s="15">
        <v>4.097967834531</v>
      </c>
      <c r="C58" s="15">
        <v>1.999027878551</v>
      </c>
      <c r="D58" s="15">
        <v>1.17713136054</v>
      </c>
      <c r="E58" s="15">
        <v>0.92180859544</v>
      </c>
      <c r="F58" s="15">
        <v>0.86453863324</v>
      </c>
      <c r="G58" s="15">
        <f t="shared" si="0"/>
        <v>3.233429201291</v>
      </c>
      <c r="H58" s="4">
        <f t="shared" si="1"/>
        <v>0.210967647416623</v>
      </c>
      <c r="I58" s="15">
        <v>4.100509395191</v>
      </c>
      <c r="J58" s="15">
        <f>表1[[#This Row],[期末权益(万元）]]-I57</f>
        <v>0.0567614385999997</v>
      </c>
      <c r="K58" s="6">
        <f>表1[[#This Row],[权益变动(万元）]]/I57</f>
        <v>0.014036838895333</v>
      </c>
      <c r="L58" s="5">
        <v>554.593844000001</v>
      </c>
      <c r="M58" s="5">
        <v>137.177</v>
      </c>
      <c r="N58" s="7">
        <v>4.06708</v>
      </c>
      <c r="O58" s="7">
        <v>7.5034</v>
      </c>
      <c r="P58" s="7">
        <v>1.50068</v>
      </c>
      <c r="Q58" s="4">
        <f>表1[[#This Row],[日均成交量（万手）]]/表1[[#This Row],[日均持仓量（万手）]]</f>
        <v>0.368982169025443</v>
      </c>
      <c r="R58">
        <v>5</v>
      </c>
      <c r="S58" s="18">
        <v>122</v>
      </c>
      <c r="T58" s="5">
        <f t="shared" si="2"/>
        <v>4485</v>
      </c>
      <c r="U58">
        <v>560</v>
      </c>
      <c r="V58">
        <v>2</v>
      </c>
      <c r="W58" s="16">
        <v>91.574808</v>
      </c>
      <c r="X58" s="16">
        <v>51.749885</v>
      </c>
      <c r="Y58">
        <v>30000</v>
      </c>
      <c r="Z58">
        <v>0</v>
      </c>
    </row>
    <row r="59" spans="1:26">
      <c r="A59" s="2" t="s">
        <v>83</v>
      </c>
      <c r="B59" s="15">
        <v>3.939873982851</v>
      </c>
      <c r="C59" s="15">
        <v>1.718756819631</v>
      </c>
      <c r="D59" s="15">
        <v>1.2538932732</v>
      </c>
      <c r="E59" s="15">
        <v>0.96722389002</v>
      </c>
      <c r="F59" s="15">
        <v>0.9094157359</v>
      </c>
      <c r="G59" s="15">
        <f t="shared" si="0"/>
        <v>3.030458246951</v>
      </c>
      <c r="H59" s="4">
        <f t="shared" si="1"/>
        <v>0.230823559296158</v>
      </c>
      <c r="I59" s="15">
        <v>3.362933492791</v>
      </c>
      <c r="J59" s="15">
        <f>表1[[#This Row],[期末权益(万元）]]-I58</f>
        <v>-0.7375759024</v>
      </c>
      <c r="K59" s="6">
        <f>表1[[#This Row],[权益变动(万元）]]/I58</f>
        <v>-0.179874213497722</v>
      </c>
      <c r="L59" s="5">
        <v>-6510.186276</v>
      </c>
      <c r="M59" s="5">
        <v>-807.811</v>
      </c>
      <c r="N59" s="7">
        <v>4.32546</v>
      </c>
      <c r="O59" s="7">
        <v>7.0753</v>
      </c>
      <c r="P59" s="7">
        <v>1.41506</v>
      </c>
      <c r="Q59" s="4">
        <f>表1[[#This Row],[日均成交量（万手）]]/表1[[#This Row],[日均持仓量（万手）]]</f>
        <v>0.327146708095786</v>
      </c>
      <c r="R59">
        <v>5</v>
      </c>
      <c r="S59" s="18">
        <v>55</v>
      </c>
      <c r="T59" s="5">
        <f t="shared" si="2"/>
        <v>4540</v>
      </c>
      <c r="U59">
        <v>589</v>
      </c>
      <c r="V59">
        <v>0</v>
      </c>
      <c r="W59" s="16">
        <v>81.843448</v>
      </c>
      <c r="X59" s="16">
        <v>47.825736</v>
      </c>
      <c r="Y59">
        <v>30000</v>
      </c>
      <c r="Z59">
        <v>0</v>
      </c>
    </row>
    <row r="60" spans="1:26">
      <c r="A60" s="2" t="s">
        <v>84</v>
      </c>
      <c r="B60" s="15">
        <v>4.581553899871</v>
      </c>
      <c r="C60" s="15">
        <v>2.094728391731</v>
      </c>
      <c r="D60" s="15">
        <v>1.34453600578</v>
      </c>
      <c r="E60" s="15">
        <v>1.14228950236</v>
      </c>
      <c r="F60" s="15">
        <v>1.07940530482</v>
      </c>
      <c r="G60" s="15">
        <f t="shared" si="0"/>
        <v>3.502148595051</v>
      </c>
      <c r="H60" s="4">
        <f t="shared" si="1"/>
        <v>0.235598080566157</v>
      </c>
      <c r="I60" s="15">
        <v>4.508819307991</v>
      </c>
      <c r="J60" s="15">
        <f>表1[[#This Row],[期末权益(万元）]]-I59</f>
        <v>1.1458858152</v>
      </c>
      <c r="K60" s="6">
        <f>表1[[#This Row],[权益变动(万元）]]/I59</f>
        <v>0.340739957437872</v>
      </c>
      <c r="L60" s="5">
        <v>13712.330993</v>
      </c>
      <c r="M60" s="5">
        <v>-2140.5995</v>
      </c>
      <c r="N60" s="7">
        <v>4.614</v>
      </c>
      <c r="O60" s="7">
        <v>7.5478</v>
      </c>
      <c r="P60" s="7">
        <v>1.50956</v>
      </c>
      <c r="Q60" s="4">
        <f>表1[[#This Row],[日均成交量（万手）]]/表1[[#This Row],[日均持仓量（万手）]]</f>
        <v>0.327169484178587</v>
      </c>
      <c r="R60">
        <v>5</v>
      </c>
      <c r="S60" s="5">
        <v>42</v>
      </c>
      <c r="T60" s="5">
        <f t="shared" si="2"/>
        <v>4580</v>
      </c>
      <c r="U60">
        <v>619</v>
      </c>
      <c r="V60">
        <v>2</v>
      </c>
      <c r="W60" s="16">
        <v>118.876641</v>
      </c>
      <c r="X60" s="16">
        <v>76.42081</v>
      </c>
      <c r="Y60">
        <v>30000</v>
      </c>
      <c r="Z60">
        <v>0</v>
      </c>
    </row>
    <row r="61" spans="1:26">
      <c r="A61" s="2" t="s">
        <v>85</v>
      </c>
      <c r="B61" s="15">
        <v>4.613860188311</v>
      </c>
      <c r="C61" s="15">
        <v>2.118741410031</v>
      </c>
      <c r="D61" s="15">
        <v>1.27100236076</v>
      </c>
      <c r="E61" s="15">
        <v>1.22411641752</v>
      </c>
      <c r="F61" s="15">
        <v>1.15952797156</v>
      </c>
      <c r="G61" s="15">
        <f t="shared" si="0"/>
        <v>3.454332216751</v>
      </c>
      <c r="H61" s="4">
        <f t="shared" si="1"/>
        <v>0.251314067664558</v>
      </c>
      <c r="I61" s="15">
        <v>4.611115262991</v>
      </c>
      <c r="J61" s="15">
        <f>表1[[#This Row],[期末权益(万元）]]-I60</f>
        <v>0.102295955000001</v>
      </c>
      <c r="K61" s="6">
        <f>表1[[#This Row],[权益变动(万元）]]/I60</f>
        <v>0.0226879695131497</v>
      </c>
      <c r="L61" s="5">
        <v>1764.409381</v>
      </c>
      <c r="M61" s="5">
        <v>-619.264</v>
      </c>
      <c r="N61" s="7">
        <v>5.18184</v>
      </c>
      <c r="O61" s="7">
        <v>9.2053</v>
      </c>
      <c r="P61" s="7">
        <v>1.84106</v>
      </c>
      <c r="Q61" s="4">
        <f>表1[[#This Row],[日均成交量（万手）]]/表1[[#This Row],[日均持仓量（万手）]]</f>
        <v>0.355290784740555</v>
      </c>
      <c r="R61">
        <v>5</v>
      </c>
      <c r="S61" s="5">
        <v>47</v>
      </c>
      <c r="T61" s="5">
        <f t="shared" si="2"/>
        <v>4624</v>
      </c>
      <c r="U61">
        <v>647</v>
      </c>
      <c r="V61">
        <v>3</v>
      </c>
      <c r="W61" s="16">
        <v>151.324881</v>
      </c>
      <c r="X61" s="16">
        <v>99.43178</v>
      </c>
      <c r="Y61">
        <v>30000</v>
      </c>
      <c r="Z61">
        <v>0</v>
      </c>
    </row>
    <row r="62" spans="1:26">
      <c r="A62" s="2" t="s">
        <v>86</v>
      </c>
      <c r="B62" s="15">
        <v>4.919194067011</v>
      </c>
      <c r="C62" s="15">
        <v>2.218341529271</v>
      </c>
      <c r="D62" s="15">
        <v>1.15924149548</v>
      </c>
      <c r="E62" s="15">
        <v>1.54161104226</v>
      </c>
      <c r="F62" s="15">
        <v>1.47580794036</v>
      </c>
      <c r="G62" s="15">
        <f t="shared" si="0"/>
        <v>3.443386126651</v>
      </c>
      <c r="H62" s="4">
        <f t="shared" si="1"/>
        <v>0.3000101073989</v>
      </c>
      <c r="I62" s="15">
        <v>5.085245289791</v>
      </c>
      <c r="J62" s="15">
        <f>表1[[#This Row],[期末权益(万元）]]-I61</f>
        <v>0.474130026799999</v>
      </c>
      <c r="K62" s="6">
        <f>表1[[#This Row],[权益变动(万元）]]/I61</f>
        <v>0.102823286723146</v>
      </c>
      <c r="L62" s="5">
        <v>5316.411535</v>
      </c>
      <c r="M62" s="5">
        <v>-417.2105</v>
      </c>
      <c r="N62" s="7">
        <v>5.24736</v>
      </c>
      <c r="O62" s="7">
        <v>8.453</v>
      </c>
      <c r="P62" s="7">
        <v>1.6906</v>
      </c>
      <c r="Q62" s="4">
        <f>表1[[#This Row],[日均成交量（万手）]]/表1[[#This Row],[日均持仓量（万手）]]</f>
        <v>0.322181058665691</v>
      </c>
      <c r="R62">
        <v>5</v>
      </c>
      <c r="S62" s="5">
        <v>47</v>
      </c>
      <c r="T62" s="5">
        <f t="shared" si="2"/>
        <v>4671</v>
      </c>
      <c r="U62">
        <v>640</v>
      </c>
      <c r="V62">
        <v>0</v>
      </c>
      <c r="W62" s="16">
        <v>135.852867</v>
      </c>
      <c r="X62" s="16">
        <v>90.179261</v>
      </c>
      <c r="Y62">
        <v>30000</v>
      </c>
      <c r="Z62">
        <v>0</v>
      </c>
    </row>
    <row r="63" spans="1:26">
      <c r="A63" s="2" t="s">
        <v>87</v>
      </c>
      <c r="B63" s="15">
        <v>5.216906785071</v>
      </c>
      <c r="C63" s="15">
        <v>2.237726378611</v>
      </c>
      <c r="D63" s="15">
        <v>1.30359247702</v>
      </c>
      <c r="E63" s="15">
        <v>1.67558792944</v>
      </c>
      <c r="F63" s="15">
        <v>1.6209789647</v>
      </c>
      <c r="G63" s="15">
        <f t="shared" si="0"/>
        <v>3.595927820371</v>
      </c>
      <c r="H63" s="4">
        <f t="shared" si="1"/>
        <v>0.310716489958894</v>
      </c>
      <c r="I63" s="15">
        <v>5.172695139091</v>
      </c>
      <c r="J63" s="15">
        <f>表1[[#This Row],[期末权益(万元）]]-I62</f>
        <v>0.0874498493000004</v>
      </c>
      <c r="K63" s="6">
        <f>表1[[#This Row],[权益变动(万元）]]/I62</f>
        <v>0.0171967809449747</v>
      </c>
      <c r="L63" s="5">
        <v>842.836446000001</v>
      </c>
      <c r="M63" s="5">
        <v>176.4325</v>
      </c>
      <c r="N63" s="7">
        <v>5.10454</v>
      </c>
      <c r="O63" s="7">
        <v>7.1762</v>
      </c>
      <c r="P63" s="7">
        <v>1.43524</v>
      </c>
      <c r="Q63" s="4">
        <f>表1[[#This Row],[日均成交量（万手）]]/表1[[#This Row],[日均持仓量（万手）]]</f>
        <v>0.281169312024198</v>
      </c>
      <c r="R63">
        <v>5</v>
      </c>
      <c r="S63" s="5">
        <v>36</v>
      </c>
      <c r="T63" s="5">
        <f t="shared" si="2"/>
        <v>4706</v>
      </c>
      <c r="U63">
        <v>632</v>
      </c>
      <c r="V63">
        <v>1</v>
      </c>
      <c r="W63" s="16">
        <v>127.964103</v>
      </c>
      <c r="X63" s="16">
        <v>86.046234</v>
      </c>
      <c r="Y63">
        <v>30000</v>
      </c>
      <c r="Z63">
        <v>0</v>
      </c>
    </row>
    <row r="64" spans="1:26">
      <c r="A64" s="19" t="s">
        <v>88</v>
      </c>
      <c r="B64" s="15">
        <v>4.737853992166</v>
      </c>
      <c r="C64" s="15">
        <v>2.227029749716</v>
      </c>
      <c r="D64" s="15">
        <v>1.2915253485</v>
      </c>
      <c r="E64" s="15">
        <v>1.21929889395</v>
      </c>
      <c r="F64" s="15">
        <v>1.164839772625</v>
      </c>
      <c r="G64" s="15">
        <f t="shared" si="0"/>
        <v>3.573014219541</v>
      </c>
      <c r="H64" s="20">
        <f t="shared" si="1"/>
        <v>0.245858098318575</v>
      </c>
      <c r="I64" s="15">
        <v>4.913785016091</v>
      </c>
      <c r="J64" s="15">
        <f>表1[[#This Row],[期末权益(万元）]]-I63</f>
        <v>-0.258910123</v>
      </c>
      <c r="K64" s="6">
        <f>表1[[#This Row],[权益变动(万元）]]/I63</f>
        <v>-0.0500532345398376</v>
      </c>
      <c r="L64" s="5">
        <v>-1834.931954</v>
      </c>
      <c r="M64" s="5">
        <v>-674.012</v>
      </c>
      <c r="N64" s="7">
        <v>5.066875</v>
      </c>
      <c r="O64" s="7">
        <v>5.3834</v>
      </c>
      <c r="P64" s="7">
        <v>1.34585</v>
      </c>
      <c r="Q64" s="4">
        <f>表1[[#This Row],[日均成交量（万手）]]/表1[[#This Row],[日均持仓量（万手）]]</f>
        <v>0.26561736770692</v>
      </c>
      <c r="R64">
        <v>4</v>
      </c>
      <c r="S64" s="5">
        <v>35</v>
      </c>
      <c r="T64" s="5">
        <f t="shared" si="2"/>
        <v>4741</v>
      </c>
      <c r="U64">
        <v>608</v>
      </c>
      <c r="V64">
        <v>0</v>
      </c>
      <c r="W64" s="16">
        <v>90.878126</v>
      </c>
      <c r="X64" s="16">
        <v>61.891718</v>
      </c>
      <c r="Y64">
        <v>30000</v>
      </c>
      <c r="Z64">
        <v>0</v>
      </c>
    </row>
    <row r="65" spans="1:26">
      <c r="A65" s="19" t="s">
        <v>89</v>
      </c>
      <c r="B65" s="15">
        <v>5.032359685651</v>
      </c>
      <c r="C65" s="15">
        <v>2.342090085251</v>
      </c>
      <c r="D65" s="15">
        <v>1.20115701362</v>
      </c>
      <c r="E65" s="15">
        <v>1.48911258678</v>
      </c>
      <c r="F65" s="15">
        <v>1.43417301848</v>
      </c>
      <c r="G65" s="15">
        <f t="shared" si="0"/>
        <v>3.598186667171</v>
      </c>
      <c r="H65" s="20">
        <f t="shared" si="1"/>
        <v>0.284990165263688</v>
      </c>
      <c r="I65" s="15">
        <v>5.052335911591</v>
      </c>
      <c r="J65" s="15">
        <f>表1[[#This Row],[期末权益(万元）]]-I64</f>
        <v>0.1385508955</v>
      </c>
      <c r="K65" s="6">
        <f>表1[[#This Row],[权益变动(万元）]]/I64</f>
        <v>0.0281963689999241</v>
      </c>
      <c r="L65" s="5">
        <v>7934.521416</v>
      </c>
      <c r="M65" s="5">
        <v>-6408.4165</v>
      </c>
      <c r="N65" s="7">
        <v>4.74094</v>
      </c>
      <c r="O65" s="7">
        <v>11.0588</v>
      </c>
      <c r="P65" s="7">
        <v>2.21176</v>
      </c>
      <c r="Q65" s="4">
        <f>表1[[#This Row],[日均成交量（万手）]]/表1[[#This Row],[日均持仓量（万手）]]</f>
        <v>0.46652351643345</v>
      </c>
      <c r="R65">
        <v>5</v>
      </c>
      <c r="S65" s="5">
        <v>64</v>
      </c>
      <c r="T65" s="5">
        <f t="shared" si="2"/>
        <v>4803</v>
      </c>
      <c r="U65">
        <v>639</v>
      </c>
      <c r="V65">
        <v>2</v>
      </c>
      <c r="W65" s="16">
        <v>138.433911</v>
      </c>
      <c r="X65" s="16">
        <v>87.673919</v>
      </c>
      <c r="Y65">
        <v>30000</v>
      </c>
      <c r="Z65">
        <v>0</v>
      </c>
    </row>
    <row r="66" spans="1:26">
      <c r="A66" s="19" t="s">
        <v>90</v>
      </c>
      <c r="B66" s="15">
        <v>4.974945193811</v>
      </c>
      <c r="C66" s="15">
        <v>2.276839164751</v>
      </c>
      <c r="D66" s="15">
        <v>1.26439951906</v>
      </c>
      <c r="E66" s="15">
        <v>1.43370651</v>
      </c>
      <c r="F66" s="15">
        <v>1.3794533934</v>
      </c>
      <c r="G66" s="15">
        <f>(B66-F66)</f>
        <v>3.595491800411</v>
      </c>
      <c r="H66" s="21">
        <f>F66/B66</f>
        <v>0.277280118606349</v>
      </c>
      <c r="I66" s="15">
        <v>4.778606397291</v>
      </c>
      <c r="J66" s="15">
        <f>表1[[#This Row],[期末权益(万元）]]-I65</f>
        <v>-0.2737295143</v>
      </c>
      <c r="K66" s="6">
        <f>表1[[#This Row],[权益变动(万元）]]/I65</f>
        <v>-0.0541788034465432</v>
      </c>
      <c r="L66" s="5">
        <v>-2778.616165</v>
      </c>
      <c r="M66" s="5">
        <v>160.931</v>
      </c>
      <c r="N66" s="7">
        <v>5.25076</v>
      </c>
      <c r="O66" s="7">
        <v>8.6732</v>
      </c>
      <c r="P66" s="7">
        <v>1.73464</v>
      </c>
      <c r="Q66" s="4">
        <f>表1[[#This Row],[日均成交量（万手）]]/表1[[#This Row],[日均持仓量（万手）]]</f>
        <v>0.330359795534361</v>
      </c>
      <c r="R66">
        <v>5</v>
      </c>
      <c r="S66" s="5">
        <v>49</v>
      </c>
      <c r="T66" s="5">
        <f t="shared" si="2"/>
        <v>4848</v>
      </c>
      <c r="U66">
        <v>622</v>
      </c>
      <c r="V66">
        <v>4</v>
      </c>
      <c r="W66" s="16">
        <v>100.185328</v>
      </c>
      <c r="X66" s="16">
        <v>61.32388</v>
      </c>
      <c r="Y66">
        <v>30000</v>
      </c>
      <c r="Z66">
        <v>0</v>
      </c>
    </row>
    <row r="67" spans="1:26">
      <c r="A67" s="19" t="s">
        <v>91</v>
      </c>
      <c r="B67" s="15">
        <v>5.186335944511</v>
      </c>
      <c r="C67" s="15">
        <v>2.227871365951</v>
      </c>
      <c r="D67" s="15">
        <v>1.31334059836</v>
      </c>
      <c r="E67" s="15">
        <v>1.6451239802</v>
      </c>
      <c r="F67" s="15">
        <v>1.59509606284</v>
      </c>
      <c r="G67" s="15">
        <f>(B67-F67)</f>
        <v>3.591239881671</v>
      </c>
      <c r="H67" s="21">
        <f>F67/B67</f>
        <v>0.307557412382471</v>
      </c>
      <c r="I67" s="15">
        <v>6.551081241391</v>
      </c>
      <c r="J67" s="15">
        <f>表1[[#This Row],[期末权益(万元）]]-I66</f>
        <v>1.7724748441</v>
      </c>
      <c r="K67" s="6">
        <f>表1[[#This Row],[权益变动(万元）]]/I66</f>
        <v>0.37091877772248</v>
      </c>
      <c r="L67" s="5">
        <v>17744.45212</v>
      </c>
      <c r="M67" s="5">
        <v>81.056</v>
      </c>
      <c r="N67" s="7">
        <v>5.27094</v>
      </c>
      <c r="O67" s="7">
        <v>11.7543</v>
      </c>
      <c r="P67" s="7">
        <v>2.35086</v>
      </c>
      <c r="Q67" s="4">
        <f>表1[[#This Row],[日均成交量（万手）]]/表1[[#This Row],[日均持仓量（万手）]]</f>
        <v>0.446003938576421</v>
      </c>
      <c r="R67">
        <v>5</v>
      </c>
      <c r="S67" s="5">
        <v>76</v>
      </c>
      <c r="T67" s="5">
        <f t="shared" ref="T67:T85" si="3">T66+S67-V67</f>
        <v>4924</v>
      </c>
      <c r="U67">
        <v>630</v>
      </c>
      <c r="V67">
        <v>0</v>
      </c>
      <c r="W67" s="16">
        <v>108.007279</v>
      </c>
      <c r="X67" s="16">
        <v>61.435686</v>
      </c>
      <c r="Y67">
        <v>30000</v>
      </c>
      <c r="Z67">
        <v>0</v>
      </c>
    </row>
    <row r="68" ht="13.5" customHeight="1" spans="1:26">
      <c r="A68" s="19" t="s">
        <v>92</v>
      </c>
      <c r="B68" s="15">
        <v>6.405164517691</v>
      </c>
      <c r="C68" s="15">
        <v>2.209728228158</v>
      </c>
      <c r="D68" s="15">
        <v>1.287222283933</v>
      </c>
      <c r="E68" s="15">
        <v>2.9082140056</v>
      </c>
      <c r="F68" s="15">
        <v>2.8638968552</v>
      </c>
      <c r="G68" s="15">
        <f t="shared" ref="G68:G71" si="4">(B68-F68)</f>
        <v>3.541267662491</v>
      </c>
      <c r="H68" s="21">
        <f t="shared" ref="H68:H71" si="5">F68/B68</f>
        <v>0.447123075026402</v>
      </c>
      <c r="I68" s="15">
        <v>4.982368241691</v>
      </c>
      <c r="J68" s="15">
        <f>表1[[#This Row],[期末权益(万元）]]-I67</f>
        <v>-1.5687129997</v>
      </c>
      <c r="K68" s="6">
        <f>表1[[#This Row],[权益变动(万元）]]/I67</f>
        <v>-0.2394586392531</v>
      </c>
      <c r="L68" s="5">
        <v>-14516.735519</v>
      </c>
      <c r="M68" s="5">
        <v>-1134.472</v>
      </c>
      <c r="N68" s="7">
        <v>4.90716667</v>
      </c>
      <c r="O68" s="7">
        <v>4.2393</v>
      </c>
      <c r="P68" s="7">
        <v>1.4131</v>
      </c>
      <c r="Q68" s="4">
        <f>表1[[#This Row],[日均成交量（万手）]]/表1[[#This Row],[日均持仓量（万手）]]</f>
        <v>0.287966579296969</v>
      </c>
      <c r="R68">
        <v>3</v>
      </c>
      <c r="S68" s="5">
        <v>35</v>
      </c>
      <c r="T68" s="5">
        <f t="shared" si="3"/>
        <v>4958</v>
      </c>
      <c r="U68">
        <v>570</v>
      </c>
      <c r="V68">
        <v>1</v>
      </c>
      <c r="W68" s="16">
        <v>39.988428</v>
      </c>
      <c r="X68" s="16">
        <v>22.348926</v>
      </c>
      <c r="Y68">
        <v>30000</v>
      </c>
      <c r="Z68">
        <v>0</v>
      </c>
    </row>
    <row r="69" ht="13.5" customHeight="1" spans="1:26">
      <c r="A69" s="19" t="s">
        <v>93</v>
      </c>
      <c r="B69" s="15">
        <v>5.264558031866</v>
      </c>
      <c r="C69" s="15">
        <v>2.297753315991</v>
      </c>
      <c r="D69" s="15">
        <v>1.368937665875</v>
      </c>
      <c r="E69" s="15">
        <v>1.59786705</v>
      </c>
      <c r="F69" s="15">
        <v>1.552409370525</v>
      </c>
      <c r="G69" s="15">
        <f t="shared" si="4"/>
        <v>3.712148661341</v>
      </c>
      <c r="H69" s="21">
        <f t="shared" si="5"/>
        <v>0.294879334813744</v>
      </c>
      <c r="I69" s="15">
        <v>5.914563871191</v>
      </c>
      <c r="J69" s="15">
        <f>表1[[#This Row],[期末权益(万元）]]-I68</f>
        <v>0.9321956295</v>
      </c>
      <c r="K69" s="6">
        <f>表1[[#This Row],[权益变动(万元）]]/I68</f>
        <v>0.187098902425489</v>
      </c>
      <c r="L69" s="5">
        <v>8412.085206</v>
      </c>
      <c r="M69" s="5">
        <v>972.964</v>
      </c>
      <c r="N69" s="7">
        <v>4.902825</v>
      </c>
      <c r="O69" s="7">
        <v>4.9007</v>
      </c>
      <c r="P69" s="7">
        <v>1.225175</v>
      </c>
      <c r="Q69" s="4">
        <f>表1[[#This Row],[日均成交量（万手）]]/表1[[#This Row],[日均持仓量（万手）]]</f>
        <v>0.249891644103145</v>
      </c>
      <c r="R69">
        <v>4</v>
      </c>
      <c r="S69" s="5">
        <v>39</v>
      </c>
      <c r="T69" s="5">
        <f t="shared" si="3"/>
        <v>4996</v>
      </c>
      <c r="U69">
        <v>574</v>
      </c>
      <c r="V69">
        <v>1</v>
      </c>
      <c r="W69" s="16">
        <v>53.639711</v>
      </c>
      <c r="X69" s="16">
        <v>32.136994</v>
      </c>
      <c r="Y69">
        <v>30000</v>
      </c>
      <c r="Z69">
        <v>0</v>
      </c>
    </row>
    <row r="70" ht="13.5" customHeight="1" spans="1:26">
      <c r="A70" s="19" t="s">
        <v>94</v>
      </c>
      <c r="B70" s="15">
        <v>5.646427200371</v>
      </c>
      <c r="C70" s="15">
        <v>2.342573256751</v>
      </c>
      <c r="D70" s="15">
        <v>1.40487758314</v>
      </c>
      <c r="E70" s="15">
        <v>1.89897636048</v>
      </c>
      <c r="F70" s="15">
        <v>1.85134133402</v>
      </c>
      <c r="G70" s="15">
        <f t="shared" si="4"/>
        <v>3.795085866351</v>
      </c>
      <c r="H70" s="21">
        <f t="shared" si="5"/>
        <v>0.327878367739933</v>
      </c>
      <c r="I70" s="15">
        <v>5.387549344791</v>
      </c>
      <c r="J70" s="15">
        <f>表1[[#This Row],[期末权益(万元）]]-I69</f>
        <v>-0.527014526399999</v>
      </c>
      <c r="K70" s="6">
        <f>表1[[#This Row],[权益变动(万元）]]/I69</f>
        <v>-0.0891045456397914</v>
      </c>
      <c r="L70" s="5">
        <v>-10051.162825</v>
      </c>
      <c r="M70" s="5">
        <v>4918.3075</v>
      </c>
      <c r="N70" s="7">
        <v>4.78098</v>
      </c>
      <c r="O70" s="7">
        <v>10.2866</v>
      </c>
      <c r="P70" s="7">
        <v>2.05732</v>
      </c>
      <c r="Q70" s="4">
        <f>表1[[#This Row],[日均成交量（万手）]]/表1[[#This Row],[日均持仓量（万手）]]</f>
        <v>0.430313450380466</v>
      </c>
      <c r="R70">
        <v>5</v>
      </c>
      <c r="S70" s="5">
        <v>53</v>
      </c>
      <c r="T70" s="5">
        <f t="shared" si="3"/>
        <v>5048</v>
      </c>
      <c r="U70">
        <v>643</v>
      </c>
      <c r="V70">
        <v>1</v>
      </c>
      <c r="W70" s="16">
        <v>113.842839</v>
      </c>
      <c r="X70" s="16">
        <v>67.228931</v>
      </c>
      <c r="Y70">
        <v>30000</v>
      </c>
      <c r="Z70">
        <v>0</v>
      </c>
    </row>
    <row r="71" ht="13.5" customHeight="1" spans="1:26">
      <c r="A71" s="19" t="s">
        <v>95</v>
      </c>
      <c r="B71" s="15">
        <v>5.303404771351</v>
      </c>
      <c r="C71" s="15">
        <v>2.351533239471</v>
      </c>
      <c r="D71" s="15">
        <v>1.51546012898</v>
      </c>
      <c r="E71" s="15">
        <v>1.4364114029</v>
      </c>
      <c r="F71" s="15">
        <v>1.39305622064</v>
      </c>
      <c r="G71" s="15">
        <f t="shared" si="4"/>
        <v>3.910348550711</v>
      </c>
      <c r="H71" s="21">
        <f t="shared" si="5"/>
        <v>0.262672053275151</v>
      </c>
      <c r="I71" s="15">
        <v>5.311863177691</v>
      </c>
      <c r="J71" s="15">
        <f>表1[[#This Row],[期末权益(万元）]]-I70</f>
        <v>-0.0756861671000006</v>
      </c>
      <c r="K71" s="6">
        <f>表1[[#This Row],[权益变动(万元）]]/I70</f>
        <v>-0.0140483478212925</v>
      </c>
      <c r="L71" s="5">
        <v>-277.293119</v>
      </c>
      <c r="M71" s="5">
        <v>-373.532</v>
      </c>
      <c r="N71" s="7">
        <v>4.84762</v>
      </c>
      <c r="O71" s="7">
        <v>8.6583</v>
      </c>
      <c r="P71" s="7">
        <v>1.73166</v>
      </c>
      <c r="Q71" s="4">
        <f>表1[[#This Row],[日均成交量（万手）]]/表1[[#This Row],[日均持仓量（万手）]]</f>
        <v>0.357218593866681</v>
      </c>
      <c r="R71">
        <v>5</v>
      </c>
      <c r="S71" s="5">
        <v>60</v>
      </c>
      <c r="T71" s="5">
        <f t="shared" si="3"/>
        <v>5104</v>
      </c>
      <c r="U71">
        <v>635</v>
      </c>
      <c r="V71">
        <v>4</v>
      </c>
      <c r="W71" s="16">
        <v>97.226052</v>
      </c>
      <c r="X71" s="16">
        <v>57.326233</v>
      </c>
      <c r="Y71">
        <v>30000</v>
      </c>
      <c r="Z71">
        <v>0</v>
      </c>
    </row>
    <row r="72" ht="13.5" customHeight="1" spans="1:26">
      <c r="A72" s="19" t="s">
        <v>96</v>
      </c>
      <c r="B72" s="15">
        <v>5.308332875791</v>
      </c>
      <c r="C72" s="15">
        <v>2.340432256831</v>
      </c>
      <c r="D72" s="15">
        <v>1.49458323112</v>
      </c>
      <c r="E72" s="15">
        <v>1.47331738784</v>
      </c>
      <c r="F72" s="15">
        <v>1.44400757242</v>
      </c>
      <c r="G72" s="15">
        <f t="shared" ref="G72:G76" si="6">(B72-F72)</f>
        <v>3.864325303371</v>
      </c>
      <c r="H72" s="21">
        <f t="shared" ref="H72:H76" si="7">F72/B72</f>
        <v>0.27202656770179</v>
      </c>
      <c r="I72" s="15">
        <v>4.924883389491</v>
      </c>
      <c r="J72" s="15">
        <f>表1[[#This Row],[期末权益(万元）]]-I71</f>
        <v>-0.3869797882</v>
      </c>
      <c r="K72" s="6">
        <f>表1[[#This Row],[权益变动(万元）]]/I71</f>
        <v>-0.0728519871944847</v>
      </c>
      <c r="L72" s="5">
        <v>-3465.678773</v>
      </c>
      <c r="M72" s="5">
        <v>-300.741</v>
      </c>
      <c r="N72" s="7">
        <v>5.08686</v>
      </c>
      <c r="O72" s="7">
        <v>7.798</v>
      </c>
      <c r="P72" s="7">
        <v>1.5596</v>
      </c>
      <c r="Q72" s="4">
        <f>表1[[#This Row],[日均成交量（万手）]]/表1[[#This Row],[日均持仓量（万手）]]</f>
        <v>0.306593851609834</v>
      </c>
      <c r="R72">
        <v>5</v>
      </c>
      <c r="S72" s="5">
        <v>41</v>
      </c>
      <c r="T72" s="5">
        <f t="shared" si="3"/>
        <v>5144</v>
      </c>
      <c r="U72">
        <v>637</v>
      </c>
      <c r="V72">
        <v>1</v>
      </c>
      <c r="W72" s="16">
        <v>127.495955</v>
      </c>
      <c r="X72" s="16">
        <v>81.617227</v>
      </c>
      <c r="Y72">
        <v>30000</v>
      </c>
      <c r="Z72">
        <v>0</v>
      </c>
    </row>
    <row r="73" ht="13.5" customHeight="1" spans="1:26">
      <c r="A73" s="19" t="s">
        <v>97</v>
      </c>
      <c r="B73" s="15">
        <v>4.827697199341</v>
      </c>
      <c r="C73" s="15">
        <v>2.094338129066</v>
      </c>
      <c r="D73" s="15">
        <v>1.59169884455</v>
      </c>
      <c r="E73" s="15">
        <v>1.141660225725</v>
      </c>
      <c r="F73" s="15">
        <v>1.111480058325</v>
      </c>
      <c r="G73" s="15">
        <f t="shared" si="6"/>
        <v>3.716217141016</v>
      </c>
      <c r="H73" s="21">
        <f t="shared" si="7"/>
        <v>0.230229861656759</v>
      </c>
      <c r="I73" s="15">
        <v>4.830185122791</v>
      </c>
      <c r="J73" s="15">
        <f>表1[[#This Row],[期末权益(万元）]]-I72</f>
        <v>-0.0946982666999991</v>
      </c>
      <c r="K73" s="6">
        <f>表1[[#This Row],[权益变动(万元）]]/I72</f>
        <v>-0.0192285297357643</v>
      </c>
      <c r="L73" s="5">
        <v>-335.565116</v>
      </c>
      <c r="M73" s="5">
        <v>-526.163</v>
      </c>
      <c r="N73" s="7">
        <v>5.0317</v>
      </c>
      <c r="O73" s="7">
        <v>5.4352</v>
      </c>
      <c r="P73" s="7">
        <v>1.3588</v>
      </c>
      <c r="Q73" s="4">
        <f>表1[[#This Row],[日均成交量（万手）]]/表1[[#This Row],[日均持仓量（万手）]]</f>
        <v>0.270047896337222</v>
      </c>
      <c r="R73">
        <v>4</v>
      </c>
      <c r="S73" s="5">
        <v>32</v>
      </c>
      <c r="T73" s="5">
        <f t="shared" si="3"/>
        <v>5174</v>
      </c>
      <c r="U73">
        <v>598</v>
      </c>
      <c r="V73">
        <v>2</v>
      </c>
      <c r="W73" s="16">
        <v>93.020501</v>
      </c>
      <c r="X73" s="16">
        <v>60.221169</v>
      </c>
      <c r="Y73">
        <v>30000</v>
      </c>
      <c r="Z73">
        <v>0</v>
      </c>
    </row>
    <row r="74" ht="13.5" customHeight="1" spans="1:26">
      <c r="A74" s="19" t="s">
        <v>98</v>
      </c>
      <c r="B74" s="15">
        <v>4.859431659091</v>
      </c>
      <c r="C74" s="15">
        <v>2.070127741551</v>
      </c>
      <c r="D74" s="15">
        <v>1.49550016656</v>
      </c>
      <c r="E74" s="15">
        <v>1.29380375098</v>
      </c>
      <c r="F74" s="15">
        <v>1.26321407116</v>
      </c>
      <c r="G74" s="15">
        <f t="shared" si="6"/>
        <v>3.596217587931</v>
      </c>
      <c r="H74" s="21">
        <f t="shared" si="7"/>
        <v>0.259950990111526</v>
      </c>
      <c r="I74" s="15">
        <v>5.057419974991</v>
      </c>
      <c r="J74" s="15">
        <f>表1[[#This Row],[期末权益(万元）]]-I73</f>
        <v>0.2272348522</v>
      </c>
      <c r="K74" s="6">
        <f>表1[[#This Row],[权益变动(万元）]]/I73</f>
        <v>0.0470447501334478</v>
      </c>
      <c r="L74" s="5">
        <v>-727.8975</v>
      </c>
      <c r="M74" s="5">
        <v>3171.156</v>
      </c>
      <c r="N74" s="7">
        <v>4.6782</v>
      </c>
      <c r="O74" s="7">
        <v>7.3316</v>
      </c>
      <c r="P74" s="7">
        <v>1.46632</v>
      </c>
      <c r="Q74" s="4">
        <f>表1[[#This Row],[日均成交量（万手）]]/表1[[#This Row],[日均持仓量（万手）]]</f>
        <v>0.31343679192852</v>
      </c>
      <c r="R74">
        <v>5</v>
      </c>
      <c r="S74" s="5">
        <v>44</v>
      </c>
      <c r="T74" s="5">
        <f t="shared" si="3"/>
        <v>5216</v>
      </c>
      <c r="U74">
        <v>625</v>
      </c>
      <c r="V74">
        <v>2</v>
      </c>
      <c r="W74" s="16">
        <v>84.607028</v>
      </c>
      <c r="X74" s="16">
        <v>50.264404</v>
      </c>
      <c r="Y74">
        <v>30000</v>
      </c>
      <c r="Z74">
        <v>0</v>
      </c>
    </row>
    <row r="75" ht="13.5" customHeight="1" spans="1:26">
      <c r="A75" s="19" t="s">
        <v>99</v>
      </c>
      <c r="B75" s="15">
        <v>4.853934604211</v>
      </c>
      <c r="C75" s="15">
        <v>2.084218755171</v>
      </c>
      <c r="D75" s="15">
        <v>1.48705975734</v>
      </c>
      <c r="E75" s="15">
        <v>1.2826560917</v>
      </c>
      <c r="F75" s="15">
        <v>1.25199097094</v>
      </c>
      <c r="G75" s="15">
        <f t="shared" si="6"/>
        <v>3.601943633271</v>
      </c>
      <c r="H75" s="21">
        <f t="shared" si="7"/>
        <v>0.257933217693918</v>
      </c>
      <c r="I75" s="15">
        <v>4.909166531491</v>
      </c>
      <c r="J75" s="15">
        <f>表1[[#This Row],[期末权益(万元）]]-I74</f>
        <v>-0.1482534435</v>
      </c>
      <c r="K75" s="6">
        <f>表1[[#This Row],[权益变动(万元）]]/I74</f>
        <v>-0.0293140463384719</v>
      </c>
      <c r="L75" s="5">
        <v>-2969.052858</v>
      </c>
      <c r="M75" s="5">
        <v>1513.1057</v>
      </c>
      <c r="N75" s="7">
        <v>4.75604</v>
      </c>
      <c r="O75" s="7">
        <v>8.3517</v>
      </c>
      <c r="P75" s="7">
        <v>1.67034</v>
      </c>
      <c r="Q75" s="4">
        <f>表1[[#This Row],[日均成交量（万手）]]/表1[[#This Row],[日均持仓量（万手）]]</f>
        <v>0.351203942775923</v>
      </c>
      <c r="R75">
        <v>5</v>
      </c>
      <c r="S75" s="5">
        <v>32</v>
      </c>
      <c r="T75" s="5">
        <f t="shared" si="3"/>
        <v>5247</v>
      </c>
      <c r="U75">
        <v>621</v>
      </c>
      <c r="V75">
        <v>1</v>
      </c>
      <c r="W75" s="16">
        <v>83.800577</v>
      </c>
      <c r="X75" s="16">
        <v>47.648414</v>
      </c>
      <c r="Y75">
        <v>30000</v>
      </c>
      <c r="Z75">
        <v>0</v>
      </c>
    </row>
    <row r="76" ht="13.5" customHeight="1" spans="1:26">
      <c r="A76" s="19" t="s">
        <v>100</v>
      </c>
      <c r="B76" s="15">
        <v>4.852718502371</v>
      </c>
      <c r="C76" s="15">
        <v>2.056278858431</v>
      </c>
      <c r="D76" s="15">
        <v>1.51776932594</v>
      </c>
      <c r="E76" s="15">
        <v>1.278670318</v>
      </c>
      <c r="F76" s="15">
        <v>1.24808132798</v>
      </c>
      <c r="G76" s="15">
        <f t="shared" si="6"/>
        <v>3.604637174391</v>
      </c>
      <c r="H76" s="21">
        <f t="shared" si="7"/>
        <v>0.257192195955771</v>
      </c>
      <c r="I76" s="15">
        <v>4.889277188291</v>
      </c>
      <c r="J76" s="15">
        <f>表1[[#This Row],[期末权益(万元）]]-I75</f>
        <v>-0.0198893432000009</v>
      </c>
      <c r="K76" s="6">
        <f>表1[[#This Row],[权益变动(万元）]]/I75</f>
        <v>-0.00405147046294234</v>
      </c>
      <c r="L76" s="5">
        <v>1826.052427</v>
      </c>
      <c r="M76" s="5">
        <v>-1953.261</v>
      </c>
      <c r="N76" s="7">
        <v>4.8598</v>
      </c>
      <c r="O76" s="7">
        <v>7.2326</v>
      </c>
      <c r="P76" s="7">
        <v>1.44652</v>
      </c>
      <c r="Q76" s="4">
        <f>表1[[#This Row],[日均成交量（万手）]]/表1[[#This Row],[日均持仓量（万手）]]</f>
        <v>0.297650109057986</v>
      </c>
      <c r="R76">
        <v>5</v>
      </c>
      <c r="S76" s="5">
        <v>29</v>
      </c>
      <c r="T76" s="5">
        <f t="shared" si="3"/>
        <v>5275</v>
      </c>
      <c r="U76">
        <v>607</v>
      </c>
      <c r="V76">
        <v>1</v>
      </c>
      <c r="W76" s="16">
        <v>65.639809</v>
      </c>
      <c r="X76" s="16">
        <v>35.587315</v>
      </c>
      <c r="Y76">
        <v>30000</v>
      </c>
      <c r="Z76">
        <v>0</v>
      </c>
    </row>
    <row r="77" ht="13.5" customHeight="1" spans="1:26">
      <c r="A77" s="19" t="s">
        <v>101</v>
      </c>
      <c r="B77" s="15">
        <v>4.508602281631</v>
      </c>
      <c r="C77" s="15">
        <v>2.007278088171</v>
      </c>
      <c r="D77" s="15">
        <v>1.52946244812</v>
      </c>
      <c r="E77" s="15">
        <v>0.97186174534</v>
      </c>
      <c r="F77" s="15">
        <v>0.93994833844</v>
      </c>
      <c r="G77" s="15">
        <f t="shared" ref="G77:G81" si="8">(B77-F77)</f>
        <v>3.568653943191</v>
      </c>
      <c r="H77" s="21">
        <f t="shared" ref="H77:H81" si="9">F77/B77</f>
        <v>0.208478876539975</v>
      </c>
      <c r="I77" s="15">
        <v>4.523944454491</v>
      </c>
      <c r="J77" s="15">
        <f>表1[[#This Row],[期末权益(万元）]]-I76</f>
        <v>-0.365332733799999</v>
      </c>
      <c r="K77" s="6">
        <f>表1[[#This Row],[权益变动(万元）]]/I76</f>
        <v>-0.0747212153720615</v>
      </c>
      <c r="L77" s="5">
        <v>-3689.996956</v>
      </c>
      <c r="M77" s="5">
        <v>129.7945</v>
      </c>
      <c r="N77" s="7">
        <v>4.59988</v>
      </c>
      <c r="O77" s="7">
        <v>6.1776</v>
      </c>
      <c r="P77" s="7">
        <v>1.23552</v>
      </c>
      <c r="Q77" s="4">
        <f>表1[[#This Row],[日均成交量（万手）]]/表1[[#This Row],[日均持仓量（万手）]]</f>
        <v>0.268598311260294</v>
      </c>
      <c r="R77">
        <v>5</v>
      </c>
      <c r="S77" s="5">
        <v>45</v>
      </c>
      <c r="T77" s="5">
        <f t="shared" si="3"/>
        <v>5319</v>
      </c>
      <c r="U77">
        <v>615</v>
      </c>
      <c r="V77">
        <v>1</v>
      </c>
      <c r="W77" s="16">
        <v>79.165482</v>
      </c>
      <c r="X77" s="16">
        <v>45.684298</v>
      </c>
      <c r="Y77">
        <v>30000</v>
      </c>
      <c r="Z77">
        <v>0</v>
      </c>
    </row>
    <row r="78" ht="13.5" customHeight="1" spans="1:26">
      <c r="A78" s="19" t="s">
        <v>102</v>
      </c>
      <c r="B78" s="15">
        <v>4.458581024211</v>
      </c>
      <c r="C78" s="15">
        <v>1.954553533031</v>
      </c>
      <c r="D78" s="15">
        <v>1.5190207929</v>
      </c>
      <c r="E78" s="15">
        <v>0.98500669828</v>
      </c>
      <c r="F78" s="15">
        <v>0.9521666425</v>
      </c>
      <c r="G78" s="15">
        <f t="shared" si="8"/>
        <v>3.506414381711</v>
      </c>
      <c r="H78" s="21">
        <f t="shared" si="9"/>
        <v>0.213558223418963</v>
      </c>
      <c r="I78" s="15">
        <v>4.560594817891</v>
      </c>
      <c r="J78" s="15">
        <f>表1[[#This Row],[期末权益(万元）]]-I77</f>
        <v>0.0366503633999997</v>
      </c>
      <c r="K78" s="6">
        <f>表1[[#This Row],[权益变动(万元）]]/I77</f>
        <v>0.00810141763867508</v>
      </c>
      <c r="L78" s="5">
        <v>588.798243000001</v>
      </c>
      <c r="M78" s="5">
        <v>-136.003</v>
      </c>
      <c r="N78" s="7">
        <v>4.94088</v>
      </c>
      <c r="O78" s="7">
        <v>7.405</v>
      </c>
      <c r="P78" s="7">
        <v>1.481</v>
      </c>
      <c r="Q78" s="4">
        <f>表1[[#This Row],[日均成交量（万手）]]/表1[[#This Row],[日均持仓量（万手）]]</f>
        <v>0.299744175126698</v>
      </c>
      <c r="R78">
        <v>5</v>
      </c>
      <c r="S78" s="5">
        <v>33</v>
      </c>
      <c r="T78" s="5">
        <f t="shared" si="3"/>
        <v>5349</v>
      </c>
      <c r="U78">
        <v>632</v>
      </c>
      <c r="V78">
        <v>3</v>
      </c>
      <c r="W78" s="16">
        <v>100.368559</v>
      </c>
      <c r="X78" s="16">
        <v>61.302689</v>
      </c>
      <c r="Y78">
        <v>30000</v>
      </c>
      <c r="Z78">
        <v>0</v>
      </c>
    </row>
    <row r="79" ht="13.5" customHeight="1" spans="1:26">
      <c r="A79" s="19" t="s">
        <v>103</v>
      </c>
      <c r="B79" s="15">
        <v>4.542634450391</v>
      </c>
      <c r="C79" s="15">
        <v>1.959901242791</v>
      </c>
      <c r="D79" s="15">
        <v>1.50891208888</v>
      </c>
      <c r="E79" s="15">
        <v>1.07382111872</v>
      </c>
      <c r="F79" s="15">
        <v>1.04157789518</v>
      </c>
      <c r="G79" s="15">
        <f t="shared" si="8"/>
        <v>3.501056555211</v>
      </c>
      <c r="H79" s="21">
        <f t="shared" si="9"/>
        <v>0.229289392874293</v>
      </c>
      <c r="I79" s="15">
        <v>4.692957551291</v>
      </c>
      <c r="J79" s="15">
        <f>表1[[#This Row],[期末权益(万元）]]-I78</f>
        <v>0.1323627334</v>
      </c>
      <c r="K79" s="6">
        <f>表1[[#This Row],[权益变动(万元）]]/I78</f>
        <v>0.0290231293691663</v>
      </c>
      <c r="L79" s="5">
        <v>1372.641865</v>
      </c>
      <c r="M79" s="5">
        <v>108.2533</v>
      </c>
      <c r="N79" s="7">
        <v>5.27814</v>
      </c>
      <c r="O79" s="7">
        <v>9.7227</v>
      </c>
      <c r="P79" s="7">
        <v>1.94454</v>
      </c>
      <c r="Q79" s="4">
        <f>表1[[#This Row],[日均成交量（万手）]]/表1[[#This Row],[日均持仓量（万手）]]</f>
        <v>0.368413873068922</v>
      </c>
      <c r="R79">
        <v>5</v>
      </c>
      <c r="S79" s="5">
        <v>35</v>
      </c>
      <c r="T79" s="5">
        <f t="shared" si="3"/>
        <v>5379</v>
      </c>
      <c r="U79">
        <v>628</v>
      </c>
      <c r="V79">
        <v>5</v>
      </c>
      <c r="W79" s="16">
        <v>119.329231</v>
      </c>
      <c r="X79" s="16">
        <v>71.339916</v>
      </c>
      <c r="Y79">
        <v>30000</v>
      </c>
      <c r="Z79">
        <v>0</v>
      </c>
    </row>
    <row r="80" ht="13.5" customHeight="1" spans="1:26">
      <c r="A80" s="19" t="s">
        <v>104</v>
      </c>
      <c r="B80" s="15">
        <v>4.737539283091</v>
      </c>
      <c r="C80" s="15">
        <v>1.979339636531</v>
      </c>
      <c r="D80" s="15">
        <v>1.66572974436</v>
      </c>
      <c r="E80" s="15">
        <v>1.0924699022</v>
      </c>
      <c r="F80" s="15">
        <v>1.06304118404</v>
      </c>
      <c r="G80" s="15">
        <f t="shared" si="8"/>
        <v>3.674498099051</v>
      </c>
      <c r="H80" s="21">
        <f t="shared" si="9"/>
        <v>0.224386779827696</v>
      </c>
      <c r="I80" s="15">
        <v>4.850525449491</v>
      </c>
      <c r="J80" s="15">
        <f>表1[[#This Row],[期末权益(万元）]]-I79</f>
        <v>0.1575678982</v>
      </c>
      <c r="K80" s="6">
        <f>表1[[#This Row],[权益变动(万元）]]/I79</f>
        <v>0.0335753938700456</v>
      </c>
      <c r="L80" s="5">
        <v>361.984328999996</v>
      </c>
      <c r="M80" s="5">
        <v>1366.964</v>
      </c>
      <c r="N80" s="7">
        <v>5.11304</v>
      </c>
      <c r="O80" s="7">
        <v>12.6738</v>
      </c>
      <c r="P80" s="7">
        <v>2.53476</v>
      </c>
      <c r="Q80" s="4">
        <f>表1[[#This Row],[日均成交量（万手）]]/表1[[#This Row],[日均持仓量（万手）]]</f>
        <v>0.495744214791983</v>
      </c>
      <c r="R80">
        <v>5</v>
      </c>
      <c r="S80" s="5">
        <v>12</v>
      </c>
      <c r="T80" s="5">
        <f t="shared" si="3"/>
        <v>5389</v>
      </c>
      <c r="U80">
        <v>646</v>
      </c>
      <c r="V80">
        <v>2</v>
      </c>
      <c r="W80" s="16">
        <v>195.148997</v>
      </c>
      <c r="X80" s="16">
        <v>120.45128</v>
      </c>
      <c r="Y80">
        <v>30000</v>
      </c>
      <c r="Z80">
        <v>0</v>
      </c>
    </row>
    <row r="81" spans="1:26">
      <c r="A81" s="19" t="s">
        <v>105</v>
      </c>
      <c r="B81" s="15">
        <v>4.720205321631</v>
      </c>
      <c r="C81" s="15">
        <v>1.943078108631</v>
      </c>
      <c r="D81" s="15">
        <v>1.59550139446</v>
      </c>
      <c r="E81" s="15">
        <v>1.18162581854</v>
      </c>
      <c r="F81" s="15">
        <v>1.1504096856</v>
      </c>
      <c r="G81" s="15">
        <f t="shared" si="8"/>
        <v>3.569795636031</v>
      </c>
      <c r="H81" s="21">
        <f t="shared" si="9"/>
        <v>0.243720263677533</v>
      </c>
      <c r="I81" s="15">
        <v>4.593739927991</v>
      </c>
      <c r="J81" s="15">
        <f>表1[[#This Row],[期末权益(万元）]]-I80</f>
        <v>-0.2567855215</v>
      </c>
      <c r="K81" s="6">
        <f>表1[[#This Row],[权益变动(万元）]]/I80</f>
        <v>-0.0529397328544986</v>
      </c>
      <c r="L81" s="5">
        <v>-294.054402</v>
      </c>
      <c r="M81" s="5">
        <v>-2065.1725</v>
      </c>
      <c r="N81" s="7">
        <v>5.65244</v>
      </c>
      <c r="O81" s="7">
        <v>11.7546</v>
      </c>
      <c r="P81" s="7">
        <f t="shared" ref="P81" si="10">O81/R81</f>
        <v>2.35092</v>
      </c>
      <c r="Q81" s="4">
        <f>表1[[#This Row],[日均成交量（万手）]]/表1[[#This Row],[日均持仓量（万手）]]</f>
        <v>0.415912420122991</v>
      </c>
      <c r="R81">
        <v>5</v>
      </c>
      <c r="S81" s="5">
        <v>8</v>
      </c>
      <c r="T81" s="5">
        <f t="shared" si="3"/>
        <v>5394</v>
      </c>
      <c r="U81">
        <v>598</v>
      </c>
      <c r="V81">
        <v>3</v>
      </c>
      <c r="W81" s="16">
        <v>155.764663</v>
      </c>
      <c r="X81" s="16">
        <v>87.371232</v>
      </c>
      <c r="Y81">
        <v>30000</v>
      </c>
      <c r="Z81">
        <v>0</v>
      </c>
    </row>
    <row r="82" spans="1:26">
      <c r="A82" s="19" t="s">
        <v>106</v>
      </c>
      <c r="B82" s="15">
        <v>4.782672672831</v>
      </c>
      <c r="C82" s="15">
        <v>1.873207754971</v>
      </c>
      <c r="D82" s="15">
        <v>1.63275242126</v>
      </c>
      <c r="E82" s="15">
        <v>1.2767124966</v>
      </c>
      <c r="F82" s="15">
        <v>1.246251087</v>
      </c>
      <c r="G82" s="15">
        <f t="shared" ref="G82:G85" si="11">(B82-F82)</f>
        <v>3.536421585831</v>
      </c>
      <c r="H82" s="21">
        <f t="shared" ref="H82:H85" si="12">F82/B82</f>
        <v>0.26057628699526</v>
      </c>
      <c r="I82" s="15">
        <v>4.648295378791</v>
      </c>
      <c r="J82" s="15">
        <f>表1[[#This Row],[期末权益(万元）]]-I81</f>
        <v>0.0545554508000006</v>
      </c>
      <c r="K82" s="6">
        <f>表1[[#This Row],[权益变动(万元）]]/I81</f>
        <v>0.0118760425394521</v>
      </c>
      <c r="L82" s="5">
        <v>888.403238</v>
      </c>
      <c r="M82" s="5">
        <v>-203.6335</v>
      </c>
      <c r="N82" s="7">
        <v>5.56002</v>
      </c>
      <c r="O82" s="7">
        <v>7.1381</v>
      </c>
      <c r="P82" s="7">
        <v>1.42762</v>
      </c>
      <c r="Q82" s="4">
        <f>表1[[#This Row],[日均成交量（万手）]]/表1[[#This Row],[日均持仓量（万手）]]</f>
        <v>0.256765263434304</v>
      </c>
      <c r="R82">
        <v>5</v>
      </c>
      <c r="S82" s="5">
        <v>3</v>
      </c>
      <c r="T82" s="5">
        <f t="shared" si="3"/>
        <v>5394</v>
      </c>
      <c r="U82">
        <v>532</v>
      </c>
      <c r="V82">
        <v>3</v>
      </c>
      <c r="W82" s="16">
        <v>69.21058</v>
      </c>
      <c r="X82" s="16">
        <v>33.440027</v>
      </c>
      <c r="Y82">
        <v>30000</v>
      </c>
      <c r="Z82">
        <v>0</v>
      </c>
    </row>
    <row r="83" spans="1:26">
      <c r="A83" s="19" t="s">
        <v>107</v>
      </c>
      <c r="B83" s="15">
        <v>4.772839505171</v>
      </c>
      <c r="C83" s="15">
        <v>1.839438316491</v>
      </c>
      <c r="D83" s="15">
        <v>1.39399956942</v>
      </c>
      <c r="E83" s="15">
        <v>1.53940161926</v>
      </c>
      <c r="F83" s="15">
        <v>1.51112038462</v>
      </c>
      <c r="G83" s="15">
        <f t="shared" si="11"/>
        <v>3.261719120551</v>
      </c>
      <c r="H83" s="21">
        <f t="shared" si="12"/>
        <v>0.316608254474683</v>
      </c>
      <c r="I83" s="15">
        <v>4.515487158091</v>
      </c>
      <c r="J83" s="15">
        <f>表1[[#This Row],[期末权益(万元）]]-I82</f>
        <v>-0.132808220700001</v>
      </c>
      <c r="K83" s="6">
        <f>表1[[#This Row],[权益变动(万元）]]/I82</f>
        <v>-0.0285713815232078</v>
      </c>
      <c r="L83" s="5">
        <v>-839.521027000001</v>
      </c>
      <c r="M83" s="5">
        <v>-405.135</v>
      </c>
      <c r="N83" s="7">
        <v>5.14838</v>
      </c>
      <c r="O83" s="7">
        <v>6.2832</v>
      </c>
      <c r="P83" s="7">
        <v>1.25664</v>
      </c>
      <c r="Q83" s="4">
        <f>表1[[#This Row],[日均成交量（万手）]]/表1[[#This Row],[日均持仓量（万手）]]</f>
        <v>0.244084546983711</v>
      </c>
      <c r="R83">
        <v>5</v>
      </c>
      <c r="S83" s="5">
        <v>7</v>
      </c>
      <c r="T83" s="5">
        <f t="shared" si="3"/>
        <v>5399</v>
      </c>
      <c r="U83">
        <v>503</v>
      </c>
      <c r="V83">
        <v>2</v>
      </c>
      <c r="W83" s="16">
        <v>62.59588</v>
      </c>
      <c r="X83" s="16">
        <v>29.490962</v>
      </c>
      <c r="Y83">
        <v>30000</v>
      </c>
      <c r="Z83">
        <v>0</v>
      </c>
    </row>
    <row r="84" spans="1:26">
      <c r="A84" s="19" t="s">
        <v>108</v>
      </c>
      <c r="B84" s="15">
        <v>4.683067623611</v>
      </c>
      <c r="C84" s="15">
        <v>1.810292222831</v>
      </c>
      <c r="D84" s="15">
        <v>1.32428469832</v>
      </c>
      <c r="E84" s="15">
        <v>1.54849070246</v>
      </c>
      <c r="F84" s="15">
        <v>1.52372590696</v>
      </c>
      <c r="G84" s="15">
        <f t="shared" si="11"/>
        <v>3.159341716651</v>
      </c>
      <c r="H84" s="21">
        <f t="shared" si="12"/>
        <v>0.325369187341585</v>
      </c>
      <c r="I84" s="15">
        <v>4.324496951891</v>
      </c>
      <c r="J84" s="15">
        <f>表1[[#This Row],[期末权益(万元）]]-I83</f>
        <v>-0.190990206199999</v>
      </c>
      <c r="K84" s="6">
        <f>表1[[#This Row],[权益变动(万元）]]/I83</f>
        <v>-0.0422967001152414</v>
      </c>
      <c r="L84" s="5">
        <v>-3240.45224</v>
      </c>
      <c r="M84" s="5">
        <v>1434.818</v>
      </c>
      <c r="N84" s="7">
        <v>4.96994</v>
      </c>
      <c r="O84" s="7">
        <v>10.8077</v>
      </c>
      <c r="P84" s="7">
        <v>2.16154</v>
      </c>
      <c r="Q84" s="4">
        <f>表1[[#This Row],[日均成交量（万手）]]/表1[[#This Row],[日均持仓量（万手）]]</f>
        <v>0.434922755606708</v>
      </c>
      <c r="R84">
        <v>5</v>
      </c>
      <c r="S84" s="5">
        <v>4</v>
      </c>
      <c r="T84" s="5">
        <f t="shared" si="3"/>
        <v>5400</v>
      </c>
      <c r="U84">
        <v>482</v>
      </c>
      <c r="V84">
        <v>3</v>
      </c>
      <c r="W84" s="16">
        <v>66.891172</v>
      </c>
      <c r="X84" s="16">
        <v>23.288812</v>
      </c>
      <c r="Y84">
        <v>30000</v>
      </c>
      <c r="Z84">
        <v>0</v>
      </c>
    </row>
    <row r="85" spans="1:26">
      <c r="A85" s="19" t="s">
        <v>109</v>
      </c>
      <c r="B85" s="15">
        <v>4.289520061371</v>
      </c>
      <c r="C85" s="15">
        <v>1.793227835631</v>
      </c>
      <c r="D85" s="15">
        <v>1.28985823424</v>
      </c>
      <c r="E85" s="15">
        <v>1.2064339915</v>
      </c>
      <c r="F85" s="15">
        <v>1.18409036192</v>
      </c>
      <c r="G85" s="15">
        <f t="shared" si="11"/>
        <v>3.105429699451</v>
      </c>
      <c r="H85" s="21">
        <f t="shared" si="12"/>
        <v>0.276042621314037</v>
      </c>
      <c r="I85" s="15">
        <v>3.902073281891</v>
      </c>
      <c r="J85" s="15">
        <f>表1[[#This Row],[期末权益(万元）]]-I84</f>
        <v>-0.422423670000001</v>
      </c>
      <c r="K85" s="6">
        <f>表1[[#This Row],[权益变动(万元）]]/I84</f>
        <v>-0.0976815742268669</v>
      </c>
      <c r="L85" s="5">
        <v>-2650.153945</v>
      </c>
      <c r="M85" s="5">
        <v>-1658.854</v>
      </c>
      <c r="N85" s="7">
        <v>4.81218</v>
      </c>
      <c r="O85" s="7">
        <v>7.9829</v>
      </c>
      <c r="P85" s="7">
        <v>1.59658</v>
      </c>
      <c r="Q85" s="4">
        <f>表1[[#This Row],[日均成交量（万手）]]/表1[[#This Row],[日均持仓量（万手）]]</f>
        <v>0.331778944262268</v>
      </c>
      <c r="R85">
        <v>5</v>
      </c>
      <c r="S85" s="5">
        <v>9</v>
      </c>
      <c r="T85" s="5">
        <f t="shared" si="3"/>
        <v>5405</v>
      </c>
      <c r="U85">
        <v>459</v>
      </c>
      <c r="V85">
        <v>4</v>
      </c>
      <c r="W85" s="16">
        <v>51.609405</v>
      </c>
      <c r="X85" s="16">
        <v>16.330599</v>
      </c>
      <c r="Y85">
        <v>30000</v>
      </c>
      <c r="Z85">
        <v>0</v>
      </c>
    </row>
    <row r="86" spans="1:26">
      <c r="T86" t="s">
        <v>110</v>
      </c>
    </row>
    <row r="101" spans="1:25">
      <c r="Y101" t="s">
        <v>110</v>
      </c>
    </row>
    <row r="102" spans="1:25">
      <c r="A102" t="s">
        <v>111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L102" t="s">
        <v>11</v>
      </c>
      <c r="M102" t="s">
        <v>12</v>
      </c>
      <c r="N102" t="s">
        <v>13</v>
      </c>
      <c r="O102" t="s">
        <v>14</v>
      </c>
      <c r="P102" t="s">
        <v>15</v>
      </c>
      <c r="Q102" t="s">
        <v>16</v>
      </c>
      <c r="R102" t="s">
        <v>17</v>
      </c>
      <c r="S102" t="s">
        <v>18</v>
      </c>
      <c r="T102" t="s">
        <v>19</v>
      </c>
      <c r="U102" t="s">
        <v>20</v>
      </c>
      <c r="V102" t="s">
        <v>21</v>
      </c>
      <c r="W102" t="s">
        <v>22</v>
      </c>
      <c r="X102" t="s">
        <v>23</v>
      </c>
      <c r="Y102" t="s">
        <v>24</v>
      </c>
    </row>
    <row r="103" spans="1:25">
      <c r="A103" s="2" t="s">
        <v>84</v>
      </c>
      <c r="B103">
        <v>4.581553899871</v>
      </c>
      <c r="C103">
        <v>2.094728391731</v>
      </c>
      <c r="D103">
        <v>1.34453600578</v>
      </c>
      <c r="E103">
        <v>1.14228950236</v>
      </c>
      <c r="F103">
        <v>1.07940530482</v>
      </c>
      <c r="G103">
        <v>0</v>
      </c>
      <c r="H103">
        <v>0</v>
      </c>
      <c r="I103">
        <v>4.508819307991</v>
      </c>
      <c r="J103">
        <v>0</v>
      </c>
      <c r="K103">
        <v>0</v>
      </c>
      <c r="L103">
        <v>13712.330993</v>
      </c>
      <c r="M103">
        <v>-2140.5995</v>
      </c>
      <c r="N103">
        <v>4.614</v>
      </c>
      <c r="O103">
        <v>7.5478</v>
      </c>
      <c r="P103">
        <f t="shared" ref="P103:P128" si="13">O103/R103</f>
        <v>1.50956</v>
      </c>
      <c r="R103">
        <v>5</v>
      </c>
      <c r="S103" s="22">
        <v>42</v>
      </c>
      <c r="U103" s="22">
        <v>619</v>
      </c>
      <c r="V103">
        <v>2</v>
      </c>
      <c r="W103">
        <v>118.876641</v>
      </c>
      <c r="X103">
        <v>76.42081</v>
      </c>
    </row>
    <row r="104" spans="1:25">
      <c r="A104" s="2" t="s">
        <v>85</v>
      </c>
      <c r="B104">
        <v>4.613860188311</v>
      </c>
      <c r="C104">
        <v>2.118741410031</v>
      </c>
      <c r="D104">
        <v>1.27100236076</v>
      </c>
      <c r="E104">
        <v>1.22411641752</v>
      </c>
      <c r="F104">
        <v>1.15952797156</v>
      </c>
      <c r="G104">
        <v>0</v>
      </c>
      <c r="H104">
        <v>0</v>
      </c>
      <c r="I104">
        <v>4.611115262991</v>
      </c>
      <c r="J104">
        <v>0</v>
      </c>
      <c r="K104">
        <v>0</v>
      </c>
      <c r="L104">
        <v>1764.409381</v>
      </c>
      <c r="M104">
        <v>-619.264</v>
      </c>
      <c r="N104">
        <v>5.18184</v>
      </c>
      <c r="O104">
        <v>9.2053</v>
      </c>
      <c r="P104">
        <f t="shared" si="13"/>
        <v>1.84106</v>
      </c>
      <c r="R104">
        <v>5</v>
      </c>
      <c r="S104" s="22">
        <v>47</v>
      </c>
      <c r="U104" s="22">
        <v>647</v>
      </c>
      <c r="V104">
        <v>3</v>
      </c>
      <c r="W104">
        <v>151.324881</v>
      </c>
      <c r="X104">
        <v>99.43178</v>
      </c>
    </row>
    <row r="105" spans="1:25">
      <c r="A105" s="2" t="s">
        <v>86</v>
      </c>
      <c r="B105">
        <v>4.919194067011</v>
      </c>
      <c r="C105">
        <v>2.218341529271</v>
      </c>
      <c r="D105">
        <v>1.15924149548</v>
      </c>
      <c r="E105">
        <v>1.54161104226</v>
      </c>
      <c r="F105">
        <v>1.47580794036</v>
      </c>
      <c r="G105">
        <v>0</v>
      </c>
      <c r="H105">
        <v>0</v>
      </c>
      <c r="I105">
        <v>5.085245289791</v>
      </c>
      <c r="J105">
        <v>0</v>
      </c>
      <c r="K105">
        <v>0</v>
      </c>
      <c r="L105">
        <v>5316.411535</v>
      </c>
      <c r="M105">
        <v>-417.2105</v>
      </c>
      <c r="N105">
        <v>5.24736</v>
      </c>
      <c r="O105">
        <v>8.453</v>
      </c>
      <c r="P105">
        <f t="shared" si="13"/>
        <v>1.6906</v>
      </c>
      <c r="R105">
        <v>5</v>
      </c>
      <c r="S105" s="22">
        <v>47</v>
      </c>
      <c r="U105" s="22">
        <v>640</v>
      </c>
      <c r="V105">
        <v>0</v>
      </c>
      <c r="W105">
        <v>135.852867</v>
      </c>
      <c r="X105">
        <v>90.179261</v>
      </c>
    </row>
    <row r="106" spans="1:25">
      <c r="A106" s="2" t="s">
        <v>87</v>
      </c>
      <c r="B106">
        <v>5.216906785071</v>
      </c>
      <c r="C106">
        <v>2.237726378611</v>
      </c>
      <c r="D106">
        <v>1.30359247702</v>
      </c>
      <c r="E106">
        <v>1.67558792944</v>
      </c>
      <c r="F106">
        <v>1.6209789647</v>
      </c>
      <c r="G106">
        <v>0</v>
      </c>
      <c r="H106">
        <v>0</v>
      </c>
      <c r="I106">
        <v>5.172695139091</v>
      </c>
      <c r="J106">
        <v>0</v>
      </c>
      <c r="K106">
        <v>0</v>
      </c>
      <c r="L106">
        <v>842.836446000001</v>
      </c>
      <c r="M106">
        <v>176.4325</v>
      </c>
      <c r="N106">
        <v>5.10454</v>
      </c>
      <c r="O106">
        <v>7.1762</v>
      </c>
      <c r="P106">
        <f t="shared" si="13"/>
        <v>1.43524</v>
      </c>
      <c r="R106">
        <v>5</v>
      </c>
      <c r="S106" s="22">
        <v>36</v>
      </c>
      <c r="U106" s="22">
        <v>632</v>
      </c>
      <c r="V106">
        <v>1</v>
      </c>
      <c r="W106">
        <v>127.964103</v>
      </c>
      <c r="X106">
        <v>86.046234</v>
      </c>
    </row>
    <row r="107" spans="1:25">
      <c r="A107" s="19" t="s">
        <v>88</v>
      </c>
      <c r="B107">
        <v>4.737853992166</v>
      </c>
      <c r="C107">
        <v>2.227029749716</v>
      </c>
      <c r="D107">
        <v>1.2915253485</v>
      </c>
      <c r="E107">
        <v>1.21929889395</v>
      </c>
      <c r="F107">
        <v>1.164839772625</v>
      </c>
      <c r="G107">
        <v>0</v>
      </c>
      <c r="H107">
        <v>0</v>
      </c>
      <c r="I107">
        <v>4.913785016091</v>
      </c>
      <c r="J107">
        <v>0</v>
      </c>
      <c r="K107">
        <v>0</v>
      </c>
      <c r="L107">
        <v>-1834.931954</v>
      </c>
      <c r="M107">
        <v>-674.012</v>
      </c>
      <c r="N107">
        <v>5.066875</v>
      </c>
      <c r="O107">
        <v>5.3834</v>
      </c>
      <c r="P107">
        <f t="shared" si="13"/>
        <v>1.34585</v>
      </c>
      <c r="R107">
        <v>4</v>
      </c>
      <c r="S107" s="22">
        <v>35</v>
      </c>
      <c r="U107" s="22">
        <v>608</v>
      </c>
      <c r="V107">
        <v>0</v>
      </c>
      <c r="W107">
        <v>90.878126</v>
      </c>
      <c r="X107">
        <v>61.891718</v>
      </c>
    </row>
    <row r="108" spans="1:25">
      <c r="A108" s="19" t="s">
        <v>89</v>
      </c>
      <c r="B108">
        <v>5.032359685651</v>
      </c>
      <c r="C108">
        <v>2.342090085251</v>
      </c>
      <c r="D108">
        <v>1.20115701362</v>
      </c>
      <c r="E108">
        <v>1.48911258678</v>
      </c>
      <c r="F108">
        <v>1.43417301848</v>
      </c>
      <c r="G108">
        <v>0</v>
      </c>
      <c r="H108">
        <v>0</v>
      </c>
      <c r="I108">
        <v>5.052335911591</v>
      </c>
      <c r="J108">
        <v>0</v>
      </c>
      <c r="K108">
        <v>0</v>
      </c>
      <c r="L108">
        <v>7934.521416</v>
      </c>
      <c r="M108">
        <v>-6408.4165</v>
      </c>
      <c r="N108">
        <v>4.74094</v>
      </c>
      <c r="O108">
        <v>11.0588</v>
      </c>
      <c r="P108">
        <f t="shared" si="13"/>
        <v>2.21176</v>
      </c>
      <c r="R108">
        <v>5</v>
      </c>
      <c r="S108" s="22">
        <v>64</v>
      </c>
      <c r="U108" s="22">
        <v>639</v>
      </c>
      <c r="V108">
        <v>2</v>
      </c>
      <c r="W108">
        <v>138.433911</v>
      </c>
      <c r="X108">
        <v>87.673919</v>
      </c>
    </row>
    <row r="109" spans="1:25">
      <c r="A109" s="19" t="s">
        <v>90</v>
      </c>
      <c r="B109">
        <v>4.974945193811</v>
      </c>
      <c r="C109">
        <v>2.276839164751</v>
      </c>
      <c r="D109">
        <v>1.26439951906</v>
      </c>
      <c r="E109">
        <v>1.43370651</v>
      </c>
      <c r="F109">
        <v>1.3794533934</v>
      </c>
      <c r="G109">
        <v>0</v>
      </c>
      <c r="H109">
        <v>0</v>
      </c>
      <c r="I109">
        <v>4.778606397291</v>
      </c>
      <c r="J109">
        <v>0</v>
      </c>
      <c r="K109">
        <v>0</v>
      </c>
      <c r="L109">
        <v>-2778.616165</v>
      </c>
      <c r="M109">
        <v>160.931</v>
      </c>
      <c r="N109">
        <v>5.25076</v>
      </c>
      <c r="O109">
        <v>8.6732</v>
      </c>
      <c r="P109">
        <f t="shared" si="13"/>
        <v>1.73464</v>
      </c>
      <c r="R109">
        <v>5</v>
      </c>
      <c r="S109" s="22">
        <v>49</v>
      </c>
      <c r="U109" s="22">
        <v>622</v>
      </c>
      <c r="V109">
        <v>4</v>
      </c>
      <c r="W109">
        <v>100.185328</v>
      </c>
      <c r="X109">
        <v>61.32388</v>
      </c>
    </row>
    <row r="110" spans="1:25">
      <c r="A110" s="19" t="s">
        <v>91</v>
      </c>
      <c r="B110">
        <v>5.186335944511</v>
      </c>
      <c r="C110">
        <v>2.227871365951</v>
      </c>
      <c r="D110">
        <v>1.31334059836</v>
      </c>
      <c r="E110">
        <v>1.6451239802</v>
      </c>
      <c r="F110">
        <v>1.59509606284</v>
      </c>
      <c r="G110">
        <v>0</v>
      </c>
      <c r="H110">
        <v>0</v>
      </c>
      <c r="I110">
        <v>6.551081241391</v>
      </c>
      <c r="J110">
        <v>0</v>
      </c>
      <c r="K110">
        <v>0</v>
      </c>
      <c r="L110">
        <v>17744.45212</v>
      </c>
      <c r="M110">
        <v>81.056</v>
      </c>
      <c r="N110">
        <v>5.27094</v>
      </c>
      <c r="O110">
        <v>11.7543</v>
      </c>
      <c r="P110">
        <f t="shared" si="13"/>
        <v>2.35086</v>
      </c>
      <c r="R110">
        <v>5</v>
      </c>
      <c r="S110" s="22">
        <v>76</v>
      </c>
      <c r="U110" s="22">
        <v>630</v>
      </c>
      <c r="V110">
        <v>0</v>
      </c>
      <c r="W110">
        <v>108.007279</v>
      </c>
      <c r="X110">
        <v>61.435686</v>
      </c>
    </row>
    <row r="111" spans="1:25">
      <c r="A111" s="19" t="s">
        <v>92</v>
      </c>
      <c r="B111">
        <v>6.405164517691</v>
      </c>
      <c r="C111">
        <v>2.209728228158</v>
      </c>
      <c r="D111">
        <v>1.287222283933</v>
      </c>
      <c r="E111">
        <v>2.9082140056</v>
      </c>
      <c r="F111">
        <v>2.8638968552</v>
      </c>
      <c r="G111">
        <v>0</v>
      </c>
      <c r="H111">
        <v>0</v>
      </c>
      <c r="I111">
        <v>4.982368241691</v>
      </c>
      <c r="J111">
        <v>0</v>
      </c>
      <c r="K111">
        <v>0</v>
      </c>
      <c r="L111">
        <v>-14516.735519</v>
      </c>
      <c r="M111">
        <v>-1134.472</v>
      </c>
      <c r="N111">
        <v>4.90716667</v>
      </c>
      <c r="O111">
        <v>4.2393</v>
      </c>
      <c r="P111">
        <f t="shared" si="13"/>
        <v>1.4131</v>
      </c>
      <c r="R111">
        <v>3</v>
      </c>
      <c r="S111" s="22">
        <v>35</v>
      </c>
      <c r="U111" s="22">
        <v>570</v>
      </c>
      <c r="V111">
        <v>1</v>
      </c>
      <c r="W111">
        <v>39.988428</v>
      </c>
      <c r="X111">
        <v>22.348926</v>
      </c>
    </row>
    <row r="112" spans="1:25">
      <c r="A112" s="19" t="s">
        <v>93</v>
      </c>
      <c r="B112">
        <v>5.264558031866</v>
      </c>
      <c r="C112">
        <v>2.297753315991</v>
      </c>
      <c r="D112">
        <v>1.368937665875</v>
      </c>
      <c r="E112">
        <v>1.59786705</v>
      </c>
      <c r="F112">
        <v>1.552409370525</v>
      </c>
      <c r="G112">
        <v>0</v>
      </c>
      <c r="H112">
        <v>0</v>
      </c>
      <c r="I112">
        <v>5.914563871191</v>
      </c>
      <c r="J112">
        <v>0</v>
      </c>
      <c r="K112">
        <v>0</v>
      </c>
      <c r="L112">
        <v>8412.085206</v>
      </c>
      <c r="M112">
        <v>972.964</v>
      </c>
      <c r="N112">
        <v>4.902825</v>
      </c>
      <c r="O112">
        <v>4.9007</v>
      </c>
      <c r="P112">
        <f t="shared" si="13"/>
        <v>1.225175</v>
      </c>
      <c r="R112">
        <v>4</v>
      </c>
      <c r="S112" s="22">
        <v>39</v>
      </c>
      <c r="U112" s="22">
        <v>574</v>
      </c>
      <c r="V112">
        <v>1</v>
      </c>
      <c r="W112">
        <v>53.639711</v>
      </c>
      <c r="X112">
        <v>32.136994</v>
      </c>
    </row>
    <row r="113" spans="1:24">
      <c r="A113" s="19" t="s">
        <v>94</v>
      </c>
      <c r="B113">
        <v>5.646427200371</v>
      </c>
      <c r="C113">
        <v>2.342573256751</v>
      </c>
      <c r="D113">
        <v>1.40487758314</v>
      </c>
      <c r="E113">
        <v>1.89897636048</v>
      </c>
      <c r="F113">
        <v>1.85134133402</v>
      </c>
      <c r="G113">
        <v>0</v>
      </c>
      <c r="H113">
        <v>0</v>
      </c>
      <c r="I113">
        <v>5.387549344791</v>
      </c>
      <c r="J113">
        <v>0</v>
      </c>
      <c r="K113">
        <v>0</v>
      </c>
      <c r="L113">
        <v>-10051.162825</v>
      </c>
      <c r="M113">
        <v>4918.3075</v>
      </c>
      <c r="N113">
        <v>4.78098</v>
      </c>
      <c r="O113">
        <v>10.2866</v>
      </c>
      <c r="P113">
        <f t="shared" si="13"/>
        <v>2.05732</v>
      </c>
      <c r="R113">
        <v>5</v>
      </c>
      <c r="S113" s="22">
        <v>53</v>
      </c>
      <c r="U113" s="22">
        <v>643</v>
      </c>
      <c r="V113">
        <v>1</v>
      </c>
      <c r="W113">
        <v>113.842839</v>
      </c>
      <c r="X113">
        <v>67.228931</v>
      </c>
    </row>
    <row r="114" spans="1:24">
      <c r="A114" s="19" t="s">
        <v>95</v>
      </c>
      <c r="B114">
        <v>5.303404771351</v>
      </c>
      <c r="C114">
        <v>2.351533239471</v>
      </c>
      <c r="D114">
        <v>1.51546012898</v>
      </c>
      <c r="E114">
        <v>1.4364114029</v>
      </c>
      <c r="F114">
        <v>1.39305622064</v>
      </c>
      <c r="G114">
        <v>0</v>
      </c>
      <c r="H114">
        <v>0</v>
      </c>
      <c r="I114">
        <v>5.311863177691</v>
      </c>
      <c r="J114">
        <v>0</v>
      </c>
      <c r="K114">
        <v>0</v>
      </c>
      <c r="L114">
        <v>-277.293119</v>
      </c>
      <c r="M114">
        <v>-373.532</v>
      </c>
      <c r="N114">
        <v>4.84762</v>
      </c>
      <c r="O114">
        <v>8.6583</v>
      </c>
      <c r="P114">
        <f t="shared" si="13"/>
        <v>1.73166</v>
      </c>
      <c r="R114">
        <v>5</v>
      </c>
      <c r="S114" s="22">
        <v>60</v>
      </c>
      <c r="U114" s="22">
        <v>635</v>
      </c>
      <c r="V114">
        <v>4</v>
      </c>
      <c r="W114">
        <v>97.226052</v>
      </c>
      <c r="X114">
        <v>57.326233</v>
      </c>
    </row>
    <row r="115" spans="1:24">
      <c r="A115" s="19" t="s">
        <v>96</v>
      </c>
      <c r="B115">
        <v>5.308332875791</v>
      </c>
      <c r="C115">
        <v>2.340432256831</v>
      </c>
      <c r="D115">
        <v>1.49458323112</v>
      </c>
      <c r="E115">
        <v>1.47331738784</v>
      </c>
      <c r="F115">
        <v>1.44400757242</v>
      </c>
      <c r="G115">
        <v>0</v>
      </c>
      <c r="H115">
        <v>0</v>
      </c>
      <c r="I115">
        <v>4.924883389491</v>
      </c>
      <c r="J115">
        <v>0</v>
      </c>
      <c r="K115">
        <v>0</v>
      </c>
      <c r="L115">
        <v>-3465.678773</v>
      </c>
      <c r="M115">
        <v>-300.741</v>
      </c>
      <c r="N115">
        <v>5.08686</v>
      </c>
      <c r="O115">
        <v>7.798</v>
      </c>
      <c r="P115">
        <f t="shared" si="13"/>
        <v>1.5596</v>
      </c>
      <c r="R115">
        <v>5</v>
      </c>
      <c r="S115" s="22">
        <v>41</v>
      </c>
      <c r="U115" s="22">
        <v>637</v>
      </c>
      <c r="V115">
        <v>1</v>
      </c>
      <c r="W115">
        <v>127.495955</v>
      </c>
      <c r="X115">
        <v>81.617227</v>
      </c>
    </row>
    <row r="116" spans="1:24">
      <c r="A116" s="19" t="s">
        <v>97</v>
      </c>
      <c r="B116">
        <v>4.827697199341</v>
      </c>
      <c r="C116">
        <v>2.094338129066</v>
      </c>
      <c r="D116">
        <v>1.59169884455</v>
      </c>
      <c r="E116">
        <v>1.141660225725</v>
      </c>
      <c r="F116">
        <v>1.111480058325</v>
      </c>
      <c r="G116">
        <v>0</v>
      </c>
      <c r="H116">
        <v>0</v>
      </c>
      <c r="I116">
        <v>4.830185122791</v>
      </c>
      <c r="J116">
        <v>0</v>
      </c>
      <c r="K116">
        <v>0</v>
      </c>
      <c r="L116">
        <v>-335.565116</v>
      </c>
      <c r="M116">
        <v>-526.163</v>
      </c>
      <c r="N116">
        <v>5.0317</v>
      </c>
      <c r="O116">
        <v>5.4352</v>
      </c>
      <c r="P116">
        <f t="shared" si="13"/>
        <v>1.3588</v>
      </c>
      <c r="R116">
        <v>4</v>
      </c>
      <c r="S116" s="22">
        <v>32</v>
      </c>
      <c r="U116" s="22">
        <v>598</v>
      </c>
      <c r="V116">
        <v>2</v>
      </c>
      <c r="W116">
        <v>93.020501</v>
      </c>
      <c r="X116">
        <v>60.221169</v>
      </c>
    </row>
    <row r="117" spans="1:24">
      <c r="A117" s="19" t="s">
        <v>98</v>
      </c>
      <c r="B117">
        <v>4.859431659091</v>
      </c>
      <c r="C117">
        <v>2.070127741551</v>
      </c>
      <c r="D117">
        <v>1.49550016656</v>
      </c>
      <c r="E117">
        <v>1.29380375098</v>
      </c>
      <c r="F117">
        <v>1.26321407116</v>
      </c>
      <c r="G117">
        <v>0</v>
      </c>
      <c r="H117">
        <v>0</v>
      </c>
      <c r="I117">
        <v>5.057419974991</v>
      </c>
      <c r="J117">
        <v>0</v>
      </c>
      <c r="K117">
        <v>0</v>
      </c>
      <c r="L117">
        <v>-727.8975</v>
      </c>
      <c r="M117">
        <v>3171.156</v>
      </c>
      <c r="N117">
        <v>4.6782</v>
      </c>
      <c r="O117">
        <v>7.3316</v>
      </c>
      <c r="P117">
        <f t="shared" si="13"/>
        <v>1.46632</v>
      </c>
      <c r="R117">
        <v>5</v>
      </c>
      <c r="S117" s="22">
        <v>44</v>
      </c>
      <c r="U117" s="22">
        <v>625</v>
      </c>
      <c r="V117">
        <v>2</v>
      </c>
      <c r="W117">
        <v>84.607028</v>
      </c>
      <c r="X117">
        <v>50.264404</v>
      </c>
    </row>
    <row r="118" spans="1:24">
      <c r="A118" s="19" t="s">
        <v>99</v>
      </c>
      <c r="B118">
        <v>4.853934604211</v>
      </c>
      <c r="C118">
        <v>2.084218755171</v>
      </c>
      <c r="D118">
        <v>1.48705975734</v>
      </c>
      <c r="E118">
        <v>1.2826560917</v>
      </c>
      <c r="F118">
        <v>1.25199097094</v>
      </c>
      <c r="G118">
        <v>0</v>
      </c>
      <c r="H118">
        <v>0</v>
      </c>
      <c r="I118">
        <v>4.909166531491</v>
      </c>
      <c r="J118">
        <v>0</v>
      </c>
      <c r="K118">
        <v>0</v>
      </c>
      <c r="L118">
        <v>-2969.052858</v>
      </c>
      <c r="M118">
        <v>1513.1057</v>
      </c>
      <c r="N118">
        <v>4.75604</v>
      </c>
      <c r="O118">
        <v>8.3517</v>
      </c>
      <c r="P118">
        <f t="shared" si="13"/>
        <v>1.67034</v>
      </c>
      <c r="R118">
        <v>5</v>
      </c>
      <c r="S118" s="22">
        <v>32</v>
      </c>
      <c r="U118" s="22">
        <v>621</v>
      </c>
      <c r="V118">
        <v>1</v>
      </c>
      <c r="W118">
        <v>83.800577</v>
      </c>
      <c r="X118">
        <v>47.648414</v>
      </c>
    </row>
    <row r="119" spans="1:24">
      <c r="A119" s="19" t="s">
        <v>100</v>
      </c>
      <c r="B119">
        <v>4.852718502371</v>
      </c>
      <c r="C119">
        <v>2.056278858431</v>
      </c>
      <c r="D119">
        <v>1.51776932594</v>
      </c>
      <c r="E119">
        <v>1.278670318</v>
      </c>
      <c r="F119">
        <v>1.24808132798</v>
      </c>
      <c r="G119">
        <v>0</v>
      </c>
      <c r="H119">
        <v>0</v>
      </c>
      <c r="I119">
        <v>4.889277188291</v>
      </c>
      <c r="J119">
        <v>0</v>
      </c>
      <c r="K119">
        <v>0</v>
      </c>
      <c r="L119">
        <v>1826.052427</v>
      </c>
      <c r="M119">
        <v>-1953.261</v>
      </c>
      <c r="N119">
        <v>4.8598</v>
      </c>
      <c r="O119">
        <v>7.2326</v>
      </c>
      <c r="P119">
        <f t="shared" si="13"/>
        <v>1.44652</v>
      </c>
      <c r="R119">
        <v>5</v>
      </c>
      <c r="S119" s="22">
        <v>29</v>
      </c>
      <c r="U119" s="22">
        <v>607</v>
      </c>
      <c r="V119">
        <v>1</v>
      </c>
      <c r="W119">
        <v>65.639809</v>
      </c>
      <c r="X119">
        <v>35.587315</v>
      </c>
    </row>
    <row r="120" spans="1:24">
      <c r="A120" s="19" t="s">
        <v>101</v>
      </c>
      <c r="B120" s="15">
        <v>4.508602281631</v>
      </c>
      <c r="C120" s="15">
        <v>2.007278088171</v>
      </c>
      <c r="D120" s="15">
        <v>1.52946244812</v>
      </c>
      <c r="E120" s="15">
        <v>0.97186174534</v>
      </c>
      <c r="F120" s="15">
        <v>0.93994833844</v>
      </c>
      <c r="G120" s="15">
        <v>0</v>
      </c>
      <c r="H120" s="15">
        <v>0</v>
      </c>
      <c r="I120" s="15">
        <v>4.523944454491</v>
      </c>
      <c r="J120" s="15">
        <v>0</v>
      </c>
      <c r="K120" s="15">
        <v>0</v>
      </c>
      <c r="L120" s="15">
        <v>-3689.996956</v>
      </c>
      <c r="M120" s="15">
        <v>129.7945</v>
      </c>
      <c r="N120" s="15">
        <v>4.59988</v>
      </c>
      <c r="O120" s="15">
        <v>6.1776</v>
      </c>
      <c r="P120">
        <f t="shared" si="13"/>
        <v>1.23552</v>
      </c>
      <c r="R120">
        <v>5</v>
      </c>
      <c r="S120" s="22">
        <v>45</v>
      </c>
      <c r="U120" s="22">
        <v>615</v>
      </c>
      <c r="V120">
        <v>1</v>
      </c>
      <c r="W120" s="15">
        <v>79.165482</v>
      </c>
      <c r="X120" s="15">
        <v>45.684298</v>
      </c>
    </row>
    <row r="121" spans="1:24">
      <c r="A121" s="19" t="s">
        <v>102</v>
      </c>
      <c r="B121" s="15">
        <v>4.458581024211</v>
      </c>
      <c r="C121" s="15">
        <v>1.954553533031</v>
      </c>
      <c r="D121" s="15">
        <v>1.5190207929</v>
      </c>
      <c r="E121" s="15">
        <v>0.98500669828</v>
      </c>
      <c r="F121" s="15">
        <v>0.9521666425</v>
      </c>
      <c r="G121" s="15">
        <v>0</v>
      </c>
      <c r="H121" s="15">
        <v>0</v>
      </c>
      <c r="I121" s="15">
        <v>4.560594817891</v>
      </c>
      <c r="J121" s="15">
        <v>0</v>
      </c>
      <c r="K121" s="15">
        <v>0</v>
      </c>
      <c r="L121" s="15">
        <v>588.798243000001</v>
      </c>
      <c r="M121" s="15">
        <v>-136.003</v>
      </c>
      <c r="N121" s="15">
        <v>4.94088</v>
      </c>
      <c r="O121" s="15">
        <v>7.405</v>
      </c>
      <c r="P121">
        <f t="shared" si="13"/>
        <v>1.481</v>
      </c>
      <c r="R121">
        <v>5</v>
      </c>
      <c r="S121" s="22">
        <v>33</v>
      </c>
      <c r="U121" s="22">
        <v>632</v>
      </c>
      <c r="V121">
        <v>3</v>
      </c>
      <c r="W121" s="15">
        <v>100.368559</v>
      </c>
      <c r="X121" s="15">
        <v>61.302689</v>
      </c>
    </row>
    <row r="122" spans="1:24">
      <c r="A122" s="19" t="s">
        <v>103</v>
      </c>
      <c r="B122" s="15">
        <v>4.542634450391</v>
      </c>
      <c r="C122" s="15">
        <v>1.959901242791</v>
      </c>
      <c r="D122" s="15">
        <v>1.50891208888</v>
      </c>
      <c r="E122" s="15">
        <v>1.07382111872</v>
      </c>
      <c r="F122" s="15">
        <v>1.04157789518</v>
      </c>
      <c r="G122" s="15">
        <v>0</v>
      </c>
      <c r="H122" s="15">
        <v>0</v>
      </c>
      <c r="I122" s="15">
        <v>4.692957551291</v>
      </c>
      <c r="J122" s="15">
        <v>0</v>
      </c>
      <c r="K122" s="15">
        <v>0</v>
      </c>
      <c r="L122" s="15">
        <v>1372.641865</v>
      </c>
      <c r="M122" s="15">
        <v>108.2533</v>
      </c>
      <c r="N122" s="15">
        <v>5.27814</v>
      </c>
      <c r="O122" s="15">
        <v>9.7227</v>
      </c>
      <c r="P122">
        <f t="shared" si="13"/>
        <v>1.94454</v>
      </c>
      <c r="R122">
        <v>5</v>
      </c>
      <c r="S122" s="22">
        <v>35</v>
      </c>
      <c r="U122" s="22">
        <v>628</v>
      </c>
      <c r="V122">
        <v>5</v>
      </c>
      <c r="W122" s="15">
        <v>119.329231</v>
      </c>
      <c r="X122" s="15">
        <v>71.339916</v>
      </c>
    </row>
    <row r="123" spans="1:24">
      <c r="A123" s="19" t="s">
        <v>104</v>
      </c>
      <c r="B123" s="15">
        <v>4.737539283091</v>
      </c>
      <c r="C123" s="15">
        <v>1.979339636531</v>
      </c>
      <c r="D123" s="15">
        <v>1.66572974436</v>
      </c>
      <c r="E123" s="15">
        <v>1.0924699022</v>
      </c>
      <c r="F123" s="15">
        <v>1.06304118404</v>
      </c>
      <c r="G123" s="15">
        <v>0</v>
      </c>
      <c r="H123" s="15">
        <v>0</v>
      </c>
      <c r="I123" s="15">
        <v>4.850525449491</v>
      </c>
      <c r="J123" s="15">
        <v>0</v>
      </c>
      <c r="K123" s="15">
        <v>0</v>
      </c>
      <c r="L123" s="15">
        <v>361.984328999996</v>
      </c>
      <c r="M123" s="15">
        <v>1366.964</v>
      </c>
      <c r="N123" s="15">
        <v>5.11304</v>
      </c>
      <c r="O123" s="15">
        <v>12.6738</v>
      </c>
      <c r="P123">
        <f t="shared" si="13"/>
        <v>2.53476</v>
      </c>
      <c r="R123">
        <v>5</v>
      </c>
      <c r="S123" s="22">
        <v>12</v>
      </c>
      <c r="U123" s="22">
        <v>646</v>
      </c>
      <c r="V123">
        <v>2</v>
      </c>
      <c r="W123" s="15">
        <v>195.148997</v>
      </c>
      <c r="X123" s="15">
        <v>120.45128</v>
      </c>
    </row>
    <row r="124" spans="1:24">
      <c r="A124" s="19" t="s">
        <v>105</v>
      </c>
      <c r="B124" s="15">
        <v>4.720205321631</v>
      </c>
      <c r="C124" s="15">
        <v>1.943078108631</v>
      </c>
      <c r="D124" s="15">
        <v>1.59550139446</v>
      </c>
      <c r="E124" s="15">
        <v>1.18162581854</v>
      </c>
      <c r="F124" s="15">
        <v>1.1504096856</v>
      </c>
      <c r="G124" s="15">
        <v>0</v>
      </c>
      <c r="H124" s="15">
        <v>0</v>
      </c>
      <c r="I124" s="15">
        <v>4.593739927991</v>
      </c>
      <c r="J124" s="15">
        <v>0</v>
      </c>
      <c r="K124" s="15">
        <v>0</v>
      </c>
      <c r="L124" s="15">
        <v>-294.054402</v>
      </c>
      <c r="M124" s="15">
        <v>-2065.1725</v>
      </c>
      <c r="N124" s="15">
        <v>5.65244</v>
      </c>
      <c r="O124" s="15">
        <v>11.7546</v>
      </c>
      <c r="P124">
        <f t="shared" si="13"/>
        <v>2.35092</v>
      </c>
      <c r="R124">
        <v>5</v>
      </c>
      <c r="S124" s="22">
        <v>8</v>
      </c>
      <c r="U124" s="22">
        <v>598</v>
      </c>
      <c r="V124">
        <v>3</v>
      </c>
      <c r="W124" s="15">
        <v>155.764663</v>
      </c>
      <c r="X124" s="15">
        <v>87.371232</v>
      </c>
    </row>
    <row r="125" spans="1:24">
      <c r="A125" s="19" t="s">
        <v>106</v>
      </c>
      <c r="B125" s="15">
        <v>4.782672672831</v>
      </c>
      <c r="C125" s="15">
        <v>1.873207754971</v>
      </c>
      <c r="D125" s="15">
        <v>1.63275242126</v>
      </c>
      <c r="E125" s="15">
        <v>1.2767124966</v>
      </c>
      <c r="F125" s="15">
        <v>1.246251087</v>
      </c>
      <c r="G125" s="15">
        <v>0</v>
      </c>
      <c r="H125" s="15">
        <v>0</v>
      </c>
      <c r="I125" s="15">
        <v>4.648295378791</v>
      </c>
      <c r="J125" s="15">
        <v>0</v>
      </c>
      <c r="K125" s="15">
        <v>0</v>
      </c>
      <c r="L125" s="15">
        <v>888.403238</v>
      </c>
      <c r="M125" s="15">
        <v>-203.6335</v>
      </c>
      <c r="N125" s="15">
        <v>5.56002</v>
      </c>
      <c r="O125" s="15">
        <v>7.1381</v>
      </c>
      <c r="P125">
        <f t="shared" si="13"/>
        <v>1.42762</v>
      </c>
      <c r="R125">
        <v>5</v>
      </c>
      <c r="S125" s="22">
        <v>3</v>
      </c>
      <c r="U125" s="22">
        <v>532</v>
      </c>
      <c r="V125">
        <v>3</v>
      </c>
      <c r="W125" s="15">
        <v>69.21058</v>
      </c>
      <c r="X125" s="15">
        <v>33.440027</v>
      </c>
    </row>
    <row r="126" spans="1:24">
      <c r="A126" s="19" t="s">
        <v>107</v>
      </c>
      <c r="B126" s="15">
        <v>4.772839505171</v>
      </c>
      <c r="C126" s="15">
        <v>1.839438316491</v>
      </c>
      <c r="D126" s="15">
        <v>1.39399956942</v>
      </c>
      <c r="E126" s="15">
        <v>1.53940161926</v>
      </c>
      <c r="F126" s="15">
        <v>1.51112038462</v>
      </c>
      <c r="G126" s="15">
        <v>0</v>
      </c>
      <c r="H126" s="15">
        <v>0</v>
      </c>
      <c r="I126" s="15">
        <v>4.515487158091</v>
      </c>
      <c r="J126" s="15">
        <v>0</v>
      </c>
      <c r="K126" s="15">
        <v>0</v>
      </c>
      <c r="L126" s="15">
        <v>-839.521027000001</v>
      </c>
      <c r="M126" s="15">
        <v>-405.135</v>
      </c>
      <c r="N126" s="15">
        <v>5.14838</v>
      </c>
      <c r="O126" s="15">
        <v>6.2832</v>
      </c>
      <c r="P126">
        <f t="shared" si="13"/>
        <v>1.25664</v>
      </c>
      <c r="R126">
        <v>5</v>
      </c>
      <c r="S126" s="22">
        <v>7</v>
      </c>
      <c r="U126" s="22">
        <v>503</v>
      </c>
      <c r="V126">
        <v>2</v>
      </c>
      <c r="W126" s="15">
        <v>62.59588</v>
      </c>
      <c r="X126" s="15">
        <v>29.490962</v>
      </c>
    </row>
    <row r="127" spans="1:24">
      <c r="A127" s="19" t="s">
        <v>108</v>
      </c>
      <c r="B127" s="15">
        <v>4.683067623611</v>
      </c>
      <c r="C127" s="15">
        <v>1.810292222831</v>
      </c>
      <c r="D127" s="15">
        <v>1.32428469832</v>
      </c>
      <c r="E127" s="15">
        <v>1.54849070246</v>
      </c>
      <c r="F127" s="15">
        <v>1.52372590696</v>
      </c>
      <c r="G127" s="15">
        <v>0</v>
      </c>
      <c r="H127" s="15">
        <v>0</v>
      </c>
      <c r="I127" s="15">
        <v>4.324496951891</v>
      </c>
      <c r="J127" s="15">
        <v>0</v>
      </c>
      <c r="K127" s="15">
        <v>0</v>
      </c>
      <c r="L127" s="15">
        <v>-3240.45224</v>
      </c>
      <c r="M127" s="15">
        <v>1434.818</v>
      </c>
      <c r="N127" s="15">
        <v>4.96994</v>
      </c>
      <c r="O127" s="15">
        <v>10.8077</v>
      </c>
      <c r="P127">
        <f t="shared" si="13"/>
        <v>2.16154</v>
      </c>
      <c r="R127">
        <v>5</v>
      </c>
      <c r="S127" s="22">
        <v>4</v>
      </c>
      <c r="U127" s="22">
        <v>482</v>
      </c>
      <c r="V127">
        <v>3</v>
      </c>
      <c r="W127" s="15">
        <v>66.891172</v>
      </c>
      <c r="X127" s="15">
        <v>23.288812</v>
      </c>
    </row>
    <row r="128" spans="1:24">
      <c r="A128" s="19" t="s">
        <v>109</v>
      </c>
      <c r="B128" s="15">
        <v>4.289520061371</v>
      </c>
      <c r="C128" s="15">
        <v>1.793227835631</v>
      </c>
      <c r="D128" s="15">
        <v>1.28985823424</v>
      </c>
      <c r="E128" s="15">
        <v>1.2064339915</v>
      </c>
      <c r="F128" s="15">
        <v>1.18409036192</v>
      </c>
      <c r="G128" s="15">
        <v>0</v>
      </c>
      <c r="H128" s="15">
        <v>0</v>
      </c>
      <c r="I128" s="15">
        <v>3.902073281891</v>
      </c>
      <c r="J128" s="15">
        <v>0</v>
      </c>
      <c r="K128" s="15">
        <v>0</v>
      </c>
      <c r="L128" s="15">
        <v>-2650.153945</v>
      </c>
      <c r="M128" s="15">
        <v>-1658.854</v>
      </c>
      <c r="N128" s="15">
        <v>4.81218</v>
      </c>
      <c r="O128" s="15">
        <v>7.9829</v>
      </c>
      <c r="P128">
        <f t="shared" si="13"/>
        <v>1.59658</v>
      </c>
      <c r="R128">
        <v>5</v>
      </c>
      <c r="S128" s="22">
        <v>9</v>
      </c>
      <c r="U128" s="22">
        <v>459</v>
      </c>
      <c r="V128">
        <v>4</v>
      </c>
      <c r="W128" s="15">
        <v>51.609405</v>
      </c>
      <c r="X128" s="15">
        <v>16.330599</v>
      </c>
    </row>
    <row r="137" spans="16:16">
      <c r="P137" s="15">
        <v>10000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9"/>
  <sheetViews>
    <sheetView workbookViewId="0">
      <selection activeCell="F161" sqref="F161"/>
    </sheetView>
  </sheetViews>
  <sheetFormatPr defaultColWidth="9" defaultRowHeight="14.25"/>
  <cols>
    <col min="1" max="1" width="8.25" customWidth="1"/>
    <col min="2" max="2" width="15.625" customWidth="1"/>
    <col min="3" max="3" width="19.875" customWidth="1"/>
    <col min="4" max="4" width="11.5" customWidth="1"/>
    <col min="5" max="6" width="8.625" customWidth="1"/>
    <col min="7" max="7" width="11.5" customWidth="1"/>
    <col min="8" max="8" width="11.625" customWidth="1"/>
    <col min="9" max="9" width="9.875" customWidth="1"/>
  </cols>
  <sheetData>
    <row r="1" ht="18" spans="1:5">
      <c r="A1" s="1" t="s">
        <v>112</v>
      </c>
      <c r="B1" s="1"/>
      <c r="C1" s="1"/>
      <c r="D1" s="1"/>
      <c r="E1" s="1"/>
    </row>
    <row r="2" spans="1:5">
      <c r="A2" t="s">
        <v>0</v>
      </c>
      <c r="B2" t="s">
        <v>113</v>
      </c>
      <c r="C2" t="s">
        <v>114</v>
      </c>
      <c r="D2" t="s">
        <v>115</v>
      </c>
      <c r="E2" t="s">
        <v>116</v>
      </c>
    </row>
    <row r="3" spans="1:5">
      <c r="A3" s="2" t="s">
        <v>98</v>
      </c>
      <c r="B3" s="3">
        <v>4.859431659091</v>
      </c>
      <c r="C3" s="3">
        <v>2.070127741551</v>
      </c>
      <c r="D3" s="3">
        <v>1.49550016656</v>
      </c>
      <c r="E3" s="3">
        <v>1.29380375098</v>
      </c>
    </row>
    <row r="4" spans="1:5">
      <c r="A4" s="2" t="s">
        <v>99</v>
      </c>
      <c r="B4" s="3">
        <v>4.853934604211</v>
      </c>
      <c r="C4" s="3">
        <v>2.084218755171</v>
      </c>
      <c r="D4" s="3">
        <v>1.48705975734</v>
      </c>
      <c r="E4" s="3">
        <v>1.2826560917</v>
      </c>
    </row>
    <row r="5" spans="1:5">
      <c r="A5" s="2" t="s">
        <v>100</v>
      </c>
      <c r="B5" s="3">
        <v>4.852718502371</v>
      </c>
      <c r="C5" s="3">
        <v>2.056278858431</v>
      </c>
      <c r="D5" s="3">
        <v>1.51776932594</v>
      </c>
      <c r="E5" s="3">
        <v>1.278670318</v>
      </c>
    </row>
    <row r="6" spans="1:5">
      <c r="A6" s="2" t="s">
        <v>101</v>
      </c>
      <c r="B6" s="3">
        <v>4.508602281631</v>
      </c>
      <c r="C6" s="3">
        <v>2.007278088171</v>
      </c>
      <c r="D6" s="3">
        <v>1.52946244812</v>
      </c>
      <c r="E6" s="3">
        <v>0.97186174534</v>
      </c>
    </row>
    <row r="7" spans="1:5">
      <c r="A7" s="2" t="s">
        <v>102</v>
      </c>
      <c r="B7" s="3">
        <v>4.458581024211</v>
      </c>
      <c r="C7" s="3">
        <v>1.954553533031</v>
      </c>
      <c r="D7" s="3">
        <v>1.5190207929</v>
      </c>
      <c r="E7" s="3">
        <v>0.98500669828</v>
      </c>
    </row>
    <row r="8" spans="1:5">
      <c r="A8" s="2" t="s">
        <v>103</v>
      </c>
      <c r="B8" s="3">
        <v>4.542634450391</v>
      </c>
      <c r="C8" s="3">
        <v>1.959901242791</v>
      </c>
      <c r="D8" s="3">
        <v>1.50891208888</v>
      </c>
      <c r="E8" s="3">
        <v>1.07382111872</v>
      </c>
    </row>
    <row r="9" spans="1:5">
      <c r="A9" s="2" t="s">
        <v>104</v>
      </c>
      <c r="B9" s="3">
        <v>4.737539283091</v>
      </c>
      <c r="C9" s="3">
        <v>1.979339636531</v>
      </c>
      <c r="D9" s="3">
        <v>1.66572974436</v>
      </c>
      <c r="E9" s="3">
        <v>1.0924699022</v>
      </c>
    </row>
    <row r="10" spans="1:5">
      <c r="A10" s="2" t="s">
        <v>105</v>
      </c>
      <c r="B10" s="3">
        <v>4.720205321631</v>
      </c>
      <c r="C10" s="3">
        <v>1.943078108631</v>
      </c>
      <c r="D10" s="3">
        <v>1.59550139446</v>
      </c>
      <c r="E10" s="3">
        <v>1.18162581854</v>
      </c>
    </row>
    <row r="11" spans="1:5">
      <c r="A11" s="2" t="s">
        <v>106</v>
      </c>
      <c r="B11" s="3">
        <v>4.782672672831</v>
      </c>
      <c r="C11" s="3">
        <v>1.873207754971</v>
      </c>
      <c r="D11" s="3">
        <v>1.63275242126</v>
      </c>
      <c r="E11" s="3">
        <v>1.2767124966</v>
      </c>
    </row>
    <row r="12" spans="1:5">
      <c r="A12" s="2" t="s">
        <v>107</v>
      </c>
      <c r="B12" s="3">
        <v>4.772839505171</v>
      </c>
      <c r="C12" s="3">
        <v>1.839438316491</v>
      </c>
      <c r="D12" s="3">
        <v>1.39399956942</v>
      </c>
      <c r="E12" s="3">
        <v>1.53940161926</v>
      </c>
    </row>
    <row r="13" spans="1:5">
      <c r="A13" s="2" t="s">
        <v>108</v>
      </c>
      <c r="B13" s="3">
        <v>4.683067623611</v>
      </c>
      <c r="C13" s="3">
        <v>1.810292222831</v>
      </c>
      <c r="D13" s="3">
        <v>1.32428469832</v>
      </c>
      <c r="E13" s="3">
        <v>1.54849070246</v>
      </c>
    </row>
    <row r="14" spans="1:5">
      <c r="A14" s="2" t="s">
        <v>109</v>
      </c>
      <c r="B14" s="3">
        <v>4.289520061371</v>
      </c>
      <c r="C14" s="3">
        <v>1.793227835631</v>
      </c>
      <c r="D14" s="3">
        <v>1.28985823424</v>
      </c>
      <c r="E14" s="3">
        <v>1.2064339915</v>
      </c>
    </row>
    <row r="26" ht="18" spans="1:5">
      <c r="A26" s="1" t="s">
        <v>117</v>
      </c>
      <c r="B26" s="1"/>
      <c r="C26" s="1"/>
      <c r="D26" s="1"/>
      <c r="E26" s="1"/>
    </row>
    <row r="27" spans="1:5">
      <c r="A27" t="s">
        <v>0</v>
      </c>
      <c r="B27" t="s">
        <v>113</v>
      </c>
      <c r="C27" t="s">
        <v>118</v>
      </c>
      <c r="D27" t="s">
        <v>119</v>
      </c>
      <c r="E27" t="s">
        <v>120</v>
      </c>
    </row>
    <row r="28" spans="1:5">
      <c r="A28" s="2" t="s">
        <v>98</v>
      </c>
      <c r="B28" s="3">
        <v>4.859431659091</v>
      </c>
      <c r="C28" s="3">
        <v>3.596217587931</v>
      </c>
      <c r="D28" s="3">
        <v>1.26321407116</v>
      </c>
      <c r="E28" s="4">
        <f>C28/B28</f>
        <v>0.740049009888474</v>
      </c>
    </row>
    <row r="29" spans="1:5">
      <c r="A29" s="2" t="s">
        <v>99</v>
      </c>
      <c r="B29" s="3">
        <v>4.853934604211</v>
      </c>
      <c r="C29" s="3">
        <v>3.601943633271</v>
      </c>
      <c r="D29" s="3">
        <v>1.25199097094</v>
      </c>
      <c r="E29" s="4">
        <f t="shared" ref="E29:E39" si="0">C29/B29</f>
        <v>0.742066782306082</v>
      </c>
    </row>
    <row r="30" spans="1:5">
      <c r="A30" s="2" t="s">
        <v>100</v>
      </c>
      <c r="B30" s="3">
        <v>4.852718502371</v>
      </c>
      <c r="C30" s="3">
        <v>3.604637174391</v>
      </c>
      <c r="D30" s="3">
        <v>1.24808132798</v>
      </c>
      <c r="E30" s="4">
        <f t="shared" si="0"/>
        <v>0.742807804044229</v>
      </c>
    </row>
    <row r="31" spans="1:5">
      <c r="A31" s="2" t="s">
        <v>101</v>
      </c>
      <c r="B31" s="3">
        <v>4.508602281631</v>
      </c>
      <c r="C31" s="3">
        <v>3.568653943191</v>
      </c>
      <c r="D31" s="3">
        <v>0.93994833844</v>
      </c>
      <c r="E31" s="4">
        <f t="shared" si="0"/>
        <v>0.791521123460025</v>
      </c>
    </row>
    <row r="32" spans="1:5">
      <c r="A32" s="2" t="s">
        <v>102</v>
      </c>
      <c r="B32" s="3">
        <v>4.458581024211</v>
      </c>
      <c r="C32" s="3">
        <v>3.506414381711</v>
      </c>
      <c r="D32" s="3">
        <v>0.9521666425</v>
      </c>
      <c r="E32" s="4">
        <f t="shared" si="0"/>
        <v>0.786441776581037</v>
      </c>
    </row>
    <row r="33" spans="1:7">
      <c r="A33" s="2" t="s">
        <v>103</v>
      </c>
      <c r="B33" s="3">
        <v>4.542634450391</v>
      </c>
      <c r="C33" s="3">
        <v>3.501056555211</v>
      </c>
      <c r="D33" s="3">
        <v>1.04157789518</v>
      </c>
      <c r="E33" s="4">
        <f t="shared" si="0"/>
        <v>0.770710607125707</v>
      </c>
    </row>
    <row r="34" spans="1:7">
      <c r="A34" s="2" t="s">
        <v>104</v>
      </c>
      <c r="B34" s="3">
        <v>4.737539283091</v>
      </c>
      <c r="C34" s="3">
        <v>3.674498099051</v>
      </c>
      <c r="D34" s="3">
        <v>1.06304118404</v>
      </c>
      <c r="E34" s="4">
        <f t="shared" si="0"/>
        <v>0.775613220172304</v>
      </c>
    </row>
    <row r="35" spans="1:7">
      <c r="A35" s="2" t="s">
        <v>105</v>
      </c>
      <c r="B35" s="3">
        <v>4.720205321631</v>
      </c>
      <c r="C35" s="3">
        <v>3.569795636031</v>
      </c>
      <c r="D35" s="3">
        <v>1.1504096856</v>
      </c>
      <c r="E35" s="4">
        <f t="shared" si="0"/>
        <v>0.756279736322467</v>
      </c>
    </row>
    <row r="36" spans="1:7">
      <c r="A36" s="2" t="s">
        <v>106</v>
      </c>
      <c r="B36" s="3">
        <v>4.782672672831</v>
      </c>
      <c r="C36" s="3">
        <v>3.536421585831</v>
      </c>
      <c r="D36" s="3">
        <v>1.246251087</v>
      </c>
      <c r="E36" s="4">
        <f t="shared" si="0"/>
        <v>0.73942371300474</v>
      </c>
    </row>
    <row r="37" spans="1:7">
      <c r="A37" s="2" t="s">
        <v>107</v>
      </c>
      <c r="B37" s="3">
        <v>4.772839505171</v>
      </c>
      <c r="C37" s="3">
        <v>3.261719120551</v>
      </c>
      <c r="D37" s="3">
        <v>1.51112038462</v>
      </c>
      <c r="E37" s="4">
        <f t="shared" si="0"/>
        <v>0.683391745525317</v>
      </c>
    </row>
    <row r="38" spans="1:7">
      <c r="A38" s="2" t="s">
        <v>108</v>
      </c>
      <c r="B38" s="3">
        <v>4.683067623611</v>
      </c>
      <c r="C38" s="3">
        <v>3.159341716651</v>
      </c>
      <c r="D38" s="3">
        <v>1.52372590696</v>
      </c>
      <c r="E38" s="4">
        <f t="shared" si="0"/>
        <v>0.674630812658415</v>
      </c>
    </row>
    <row r="39" spans="1:7">
      <c r="A39" s="2" t="s">
        <v>109</v>
      </c>
      <c r="B39" s="3">
        <v>4.289520061371</v>
      </c>
      <c r="C39" s="3">
        <v>3.105429699451</v>
      </c>
      <c r="D39" s="3">
        <v>1.18409036192</v>
      </c>
      <c r="E39" s="4">
        <f t="shared" si="0"/>
        <v>0.723957378685963</v>
      </c>
    </row>
    <row r="47" ht="18" spans="1:7">
      <c r="A47" s="1" t="s">
        <v>121</v>
      </c>
      <c r="B47" s="1"/>
      <c r="C47" s="1"/>
      <c r="D47" s="1"/>
      <c r="E47" s="1"/>
    </row>
    <row r="48" spans="1:7">
      <c r="A48" t="s">
        <v>0</v>
      </c>
      <c r="B48" t="s">
        <v>122</v>
      </c>
      <c r="C48" t="s">
        <v>123</v>
      </c>
      <c r="D48" t="s">
        <v>124</v>
      </c>
      <c r="E48" t="s">
        <v>125</v>
      </c>
      <c r="F48" t="s">
        <v>126</v>
      </c>
      <c r="G48" t="s">
        <v>10</v>
      </c>
    </row>
    <row r="49" spans="1:7">
      <c r="A49" s="2" t="s">
        <v>98</v>
      </c>
      <c r="B49" s="3">
        <v>5.057419974991</v>
      </c>
      <c r="C49" s="5">
        <v>-727.8975</v>
      </c>
      <c r="D49" s="5">
        <v>3171.156</v>
      </c>
      <c r="E49" s="5">
        <v>30000</v>
      </c>
      <c r="F49" s="5">
        <v>0</v>
      </c>
      <c r="G49" s="6">
        <f>VLOOKUP(A49,[1]数据!A:K,11,0)</f>
        <v>0.0470447501334478</v>
      </c>
    </row>
    <row r="50" spans="1:7">
      <c r="A50" s="2" t="s">
        <v>99</v>
      </c>
      <c r="B50" s="3">
        <v>4.909166531491</v>
      </c>
      <c r="C50" s="5">
        <v>-2969.052858</v>
      </c>
      <c r="D50" s="5">
        <v>1513.1057</v>
      </c>
      <c r="E50" s="5">
        <v>30000</v>
      </c>
      <c r="F50" s="5">
        <v>0</v>
      </c>
      <c r="G50" s="6">
        <f>VLOOKUP(A50,[1]数据!A:K,11,0)</f>
        <v>-0.0293140463384719</v>
      </c>
    </row>
    <row r="51" spans="1:7">
      <c r="A51" s="2" t="s">
        <v>100</v>
      </c>
      <c r="B51" s="3">
        <v>4.889277188291</v>
      </c>
      <c r="C51" s="5">
        <v>1826.052427</v>
      </c>
      <c r="D51" s="5">
        <v>-1953.261</v>
      </c>
      <c r="E51" s="5">
        <v>30000</v>
      </c>
      <c r="F51" s="5">
        <v>0</v>
      </c>
      <c r="G51" s="6">
        <f>VLOOKUP(A51,[1]数据!A:K,11,0)</f>
        <v>-0.00405147046294234</v>
      </c>
    </row>
    <row r="52" spans="1:7">
      <c r="A52" s="2" t="s">
        <v>101</v>
      </c>
      <c r="B52" s="3">
        <v>4.523944454491</v>
      </c>
      <c r="C52" s="5">
        <v>-3689.996956</v>
      </c>
      <c r="D52" s="5">
        <v>129.7945</v>
      </c>
      <c r="E52" s="5">
        <v>30000</v>
      </c>
      <c r="F52" s="5">
        <v>0</v>
      </c>
      <c r="G52" s="6">
        <f>VLOOKUP(A52,[1]数据!A:K,11,0)</f>
        <v>-0.0747212153720615</v>
      </c>
    </row>
    <row r="53" spans="1:7">
      <c r="A53" s="2" t="s">
        <v>102</v>
      </c>
      <c r="B53" s="3">
        <v>4.560594817891</v>
      </c>
      <c r="C53" s="5">
        <v>588.798243000001</v>
      </c>
      <c r="D53" s="5">
        <v>-136.003</v>
      </c>
      <c r="E53" s="5">
        <v>30000</v>
      </c>
      <c r="F53" s="5">
        <v>0</v>
      </c>
      <c r="G53" s="6">
        <f>VLOOKUP(A53,[1]数据!A:K,11,0)</f>
        <v>0.00810141763867508</v>
      </c>
    </row>
    <row r="54" spans="1:7">
      <c r="A54" s="2" t="s">
        <v>103</v>
      </c>
      <c r="B54" s="3">
        <v>4.692957551291</v>
      </c>
      <c r="C54" s="5">
        <v>1372.641865</v>
      </c>
      <c r="D54" s="5">
        <v>108.2533</v>
      </c>
      <c r="E54" s="5">
        <v>30000</v>
      </c>
      <c r="F54" s="5">
        <v>0</v>
      </c>
      <c r="G54" s="6">
        <f>VLOOKUP(A54,[1]数据!A:K,11,0)</f>
        <v>0.0290231293691663</v>
      </c>
    </row>
    <row r="55" spans="1:7">
      <c r="A55" s="2" t="s">
        <v>104</v>
      </c>
      <c r="B55" s="3">
        <v>4.850525449491</v>
      </c>
      <c r="C55" s="5">
        <v>361.984328999996</v>
      </c>
      <c r="D55" s="5">
        <v>1366.964</v>
      </c>
      <c r="E55" s="5">
        <v>30000</v>
      </c>
      <c r="F55" s="5">
        <v>0</v>
      </c>
      <c r="G55" s="6">
        <f>VLOOKUP(A55,[1]数据!A:K,11,0)</f>
        <v>0.0335753938700456</v>
      </c>
    </row>
    <row r="56" spans="1:7">
      <c r="A56" s="2" t="s">
        <v>105</v>
      </c>
      <c r="B56" s="3">
        <v>4.593739927991</v>
      </c>
      <c r="C56" s="5">
        <v>-294.054402</v>
      </c>
      <c r="D56" s="5">
        <v>-2065.1725</v>
      </c>
      <c r="E56" s="5">
        <v>30000</v>
      </c>
      <c r="F56" s="5">
        <v>0</v>
      </c>
      <c r="G56" s="6">
        <f>VLOOKUP(A56,[1]数据!A:K,11,0)</f>
        <v>-0.0529397328544986</v>
      </c>
    </row>
    <row r="57" spans="1:7">
      <c r="A57" s="2" t="s">
        <v>106</v>
      </c>
      <c r="B57" s="3">
        <v>4.648295378791</v>
      </c>
      <c r="C57" s="5">
        <v>888.403238</v>
      </c>
      <c r="D57" s="5">
        <v>-203.6335</v>
      </c>
      <c r="E57" s="5">
        <v>30000</v>
      </c>
      <c r="F57" s="5">
        <v>0</v>
      </c>
      <c r="G57" s="6">
        <f>VLOOKUP(A57,[1]数据!A:K,11,0)</f>
        <v>0.0118760425394521</v>
      </c>
    </row>
    <row r="58" spans="1:7">
      <c r="A58" s="2" t="s">
        <v>107</v>
      </c>
      <c r="B58" s="3">
        <v>4.515487158091</v>
      </c>
      <c r="C58" s="5">
        <v>-839.521027000001</v>
      </c>
      <c r="D58" s="5">
        <v>-405.135</v>
      </c>
      <c r="E58" s="5">
        <v>30000</v>
      </c>
      <c r="F58" s="5">
        <v>0</v>
      </c>
      <c r="G58" s="6">
        <f>VLOOKUP(A58,[1]数据!A:K,11,0)</f>
        <v>-0.0285713815232078</v>
      </c>
    </row>
    <row r="59" spans="1:7">
      <c r="A59" s="2" t="s">
        <v>108</v>
      </c>
      <c r="B59" s="3">
        <v>4.324496951891</v>
      </c>
      <c r="C59" s="5">
        <v>-3240.45224</v>
      </c>
      <c r="D59" s="5">
        <v>1434.818</v>
      </c>
      <c r="E59" s="5">
        <v>30000</v>
      </c>
      <c r="F59" s="5">
        <v>0</v>
      </c>
      <c r="G59" s="6">
        <f>VLOOKUP(A59,[1]数据!A:K,11,0)</f>
        <v>-0.0422967001152414</v>
      </c>
    </row>
    <row r="60" spans="1:7">
      <c r="A60" s="2" t="s">
        <v>109</v>
      </c>
      <c r="B60" s="3">
        <v>3.902073281891</v>
      </c>
      <c r="C60" s="5">
        <v>-2650.153945</v>
      </c>
      <c r="D60" s="5">
        <v>-1658.854</v>
      </c>
      <c r="E60" s="5">
        <v>30000</v>
      </c>
      <c r="F60" s="5">
        <v>0</v>
      </c>
      <c r="G60" s="6">
        <f>VLOOKUP(A60,[1]数据!A:K,11,0)</f>
        <v>-0.0976815742268669</v>
      </c>
    </row>
    <row r="61" spans="1:7">
      <c r="G61" s="6" t="e">
        <f>VLOOKUP(A61,[1]数据!A:K,11,0)</f>
        <v>#N/A</v>
      </c>
    </row>
    <row r="62" spans="1:7">
      <c r="G62" s="6" t="e">
        <f>VLOOKUP(A62,[1]数据!A:K,11,0)</f>
        <v>#N/A</v>
      </c>
    </row>
    <row r="70" ht="18" spans="1:9">
      <c r="A70" s="1" t="s">
        <v>16</v>
      </c>
      <c r="B70" s="1"/>
      <c r="C70" s="1"/>
      <c r="D70" s="1"/>
      <c r="E70" s="1"/>
    </row>
    <row r="71" spans="1:9">
      <c r="A71" t="s">
        <v>0</v>
      </c>
      <c r="B71" t="s">
        <v>127</v>
      </c>
      <c r="C71" t="s">
        <v>128</v>
      </c>
      <c r="D71" t="s">
        <v>129</v>
      </c>
      <c r="F71" t="str">
        <f>A71</f>
        <v>月份</v>
      </c>
      <c r="G71" t="str">
        <f t="shared" ref="G71:I85" si="1">B71</f>
        <v> 日均成交量（万手）</v>
      </c>
      <c r="H71" t="str">
        <f t="shared" si="1"/>
        <v> 日均持仓量（万手）</v>
      </c>
      <c r="I71" t="str">
        <f t="shared" si="1"/>
        <v> 成交持仓比</v>
      </c>
    </row>
    <row r="72" spans="1:9">
      <c r="A72" s="2" t="s">
        <v>98</v>
      </c>
      <c r="B72" s="7">
        <v>1.46632</v>
      </c>
      <c r="C72" s="7">
        <v>4.6782</v>
      </c>
      <c r="D72" s="8">
        <v>0.31343679192852</v>
      </c>
      <c r="F72" t="str">
        <f t="shared" ref="F72:F85" si="2">A72</f>
        <v>2506W2</v>
      </c>
      <c r="G72" s="7">
        <f t="shared" si="1"/>
        <v>1.46632</v>
      </c>
      <c r="H72" s="7">
        <f t="shared" si="1"/>
        <v>4.6782</v>
      </c>
      <c r="I72" s="4">
        <f t="shared" si="1"/>
        <v>0.31343679192852</v>
      </c>
    </row>
    <row r="73" spans="1:9">
      <c r="A73" s="2" t="s">
        <v>99</v>
      </c>
      <c r="B73" s="7">
        <v>1.67034</v>
      </c>
      <c r="C73" s="7">
        <v>4.75604</v>
      </c>
      <c r="D73" s="8">
        <v>0.351203942775923</v>
      </c>
      <c r="F73" t="str">
        <f t="shared" si="2"/>
        <v>2506W3</v>
      </c>
      <c r="G73" s="7">
        <f t="shared" si="1"/>
        <v>1.67034</v>
      </c>
      <c r="H73" s="7">
        <f t="shared" si="1"/>
        <v>4.75604</v>
      </c>
      <c r="I73" s="4">
        <f t="shared" si="1"/>
        <v>0.351203942775923</v>
      </c>
    </row>
    <row r="74" spans="1:9">
      <c r="A74" s="2" t="s">
        <v>100</v>
      </c>
      <c r="B74" s="7">
        <v>1.44652</v>
      </c>
      <c r="C74" s="7">
        <v>4.8598</v>
      </c>
      <c r="D74" s="8">
        <v>0.297650109057986</v>
      </c>
      <c r="F74" t="str">
        <f t="shared" si="2"/>
        <v>2506W4</v>
      </c>
      <c r="G74" s="7">
        <f t="shared" si="1"/>
        <v>1.44652</v>
      </c>
      <c r="H74" s="7">
        <f t="shared" si="1"/>
        <v>4.8598</v>
      </c>
      <c r="I74" s="4">
        <f t="shared" si="1"/>
        <v>0.297650109057986</v>
      </c>
    </row>
    <row r="75" spans="1:9">
      <c r="A75" s="2" t="s">
        <v>101</v>
      </c>
      <c r="B75" s="7">
        <v>1.23552</v>
      </c>
      <c r="C75" s="7">
        <v>4.59988</v>
      </c>
      <c r="D75" s="8">
        <v>0.268598311260294</v>
      </c>
      <c r="F75" t="str">
        <f t="shared" si="2"/>
        <v>2507W1</v>
      </c>
      <c r="G75" s="7">
        <f t="shared" si="1"/>
        <v>1.23552</v>
      </c>
      <c r="H75" s="7">
        <f t="shared" si="1"/>
        <v>4.59988</v>
      </c>
      <c r="I75" s="4">
        <f t="shared" si="1"/>
        <v>0.268598311260294</v>
      </c>
    </row>
    <row r="76" spans="1:9">
      <c r="A76" s="2" t="s">
        <v>102</v>
      </c>
      <c r="B76" s="7">
        <v>1.481</v>
      </c>
      <c r="C76" s="7">
        <v>4.94088</v>
      </c>
      <c r="D76" s="8">
        <v>0.299744175126698</v>
      </c>
      <c r="F76" t="str">
        <f t="shared" si="2"/>
        <v>2507W2</v>
      </c>
      <c r="G76" s="7">
        <f t="shared" si="1"/>
        <v>1.481</v>
      </c>
      <c r="H76" s="7">
        <f t="shared" si="1"/>
        <v>4.94088</v>
      </c>
      <c r="I76" s="4">
        <f t="shared" si="1"/>
        <v>0.299744175126698</v>
      </c>
    </row>
    <row r="77" spans="1:9">
      <c r="A77" s="2" t="s">
        <v>103</v>
      </c>
      <c r="B77" s="7">
        <v>1.94454</v>
      </c>
      <c r="C77" s="7">
        <v>5.27814</v>
      </c>
      <c r="D77" s="8">
        <v>0.368413873068922</v>
      </c>
      <c r="F77" t="str">
        <f t="shared" si="2"/>
        <v>2507W3</v>
      </c>
      <c r="G77" s="7">
        <f t="shared" si="1"/>
        <v>1.94454</v>
      </c>
      <c r="H77" s="7">
        <f t="shared" si="1"/>
        <v>5.27814</v>
      </c>
      <c r="I77" s="4">
        <f t="shared" si="1"/>
        <v>0.368413873068922</v>
      </c>
    </row>
    <row r="78" spans="1:9">
      <c r="A78" s="2" t="s">
        <v>104</v>
      </c>
      <c r="B78" s="7">
        <v>2.53476</v>
      </c>
      <c r="C78" s="7">
        <v>5.11304</v>
      </c>
      <c r="D78" s="8">
        <v>0.495744214791983</v>
      </c>
      <c r="F78" t="str">
        <f t="shared" si="2"/>
        <v>2507W4</v>
      </c>
      <c r="G78" s="7">
        <f t="shared" si="1"/>
        <v>2.53476</v>
      </c>
      <c r="H78" s="7">
        <f t="shared" si="1"/>
        <v>5.11304</v>
      </c>
      <c r="I78" s="4">
        <f t="shared" si="1"/>
        <v>0.495744214791983</v>
      </c>
    </row>
    <row r="79" spans="1:9">
      <c r="A79" s="2" t="s">
        <v>105</v>
      </c>
      <c r="B79" s="7">
        <v>2.35092</v>
      </c>
      <c r="C79" s="7">
        <v>5.65244</v>
      </c>
      <c r="D79" s="8">
        <v>0.415912420122991</v>
      </c>
      <c r="F79" t="str">
        <f t="shared" si="2"/>
        <v>2508W1</v>
      </c>
      <c r="G79" s="7">
        <f t="shared" si="1"/>
        <v>2.35092</v>
      </c>
      <c r="H79" s="7">
        <f t="shared" si="1"/>
        <v>5.65244</v>
      </c>
      <c r="I79" s="4">
        <f t="shared" si="1"/>
        <v>0.415912420122991</v>
      </c>
    </row>
    <row r="80" spans="1:9">
      <c r="A80" s="2" t="s">
        <v>106</v>
      </c>
      <c r="B80" s="7">
        <v>1.42762</v>
      </c>
      <c r="C80" s="7">
        <v>5.56002</v>
      </c>
      <c r="D80" s="8">
        <v>0.256765263434304</v>
      </c>
      <c r="F80" t="str">
        <f t="shared" si="2"/>
        <v>2508W2</v>
      </c>
      <c r="G80" s="7">
        <f t="shared" si="1"/>
        <v>1.42762</v>
      </c>
      <c r="H80" s="7">
        <f t="shared" si="1"/>
        <v>5.56002</v>
      </c>
      <c r="I80" s="4">
        <f t="shared" si="1"/>
        <v>0.256765263434304</v>
      </c>
    </row>
    <row r="81" spans="1:9">
      <c r="A81" s="2" t="s">
        <v>107</v>
      </c>
      <c r="B81" s="7">
        <v>1.25664</v>
      </c>
      <c r="C81" s="7">
        <v>5.14838</v>
      </c>
      <c r="D81" s="8">
        <v>0.244084546983711</v>
      </c>
      <c r="F81" t="str">
        <f t="shared" si="2"/>
        <v>2508W3</v>
      </c>
      <c r="G81" s="7">
        <f t="shared" si="1"/>
        <v>1.25664</v>
      </c>
      <c r="H81" s="7">
        <f t="shared" si="1"/>
        <v>5.14838</v>
      </c>
      <c r="I81" s="4">
        <f t="shared" si="1"/>
        <v>0.244084546983711</v>
      </c>
    </row>
    <row r="82" spans="1:9">
      <c r="A82" s="2" t="s">
        <v>108</v>
      </c>
      <c r="B82" s="7">
        <v>2.16154</v>
      </c>
      <c r="C82" s="7">
        <v>4.96994</v>
      </c>
      <c r="D82" s="8">
        <v>0.434922755606708</v>
      </c>
      <c r="F82" t="str">
        <f t="shared" si="2"/>
        <v>2508W4</v>
      </c>
      <c r="G82" s="7">
        <f t="shared" si="1"/>
        <v>2.16154</v>
      </c>
      <c r="H82" s="7">
        <f t="shared" si="1"/>
        <v>4.96994</v>
      </c>
      <c r="I82" s="4">
        <f t="shared" si="1"/>
        <v>0.434922755606708</v>
      </c>
    </row>
    <row r="83" spans="1:9">
      <c r="A83" s="2" t="s">
        <v>109</v>
      </c>
      <c r="B83" s="7">
        <v>1.59658</v>
      </c>
      <c r="C83" s="7">
        <v>4.81218</v>
      </c>
      <c r="D83" s="8">
        <v>0.331778944262268</v>
      </c>
      <c r="F83" t="str">
        <f t="shared" si="2"/>
        <v>2508W5</v>
      </c>
      <c r="G83" s="7">
        <f t="shared" si="1"/>
        <v>1.59658</v>
      </c>
      <c r="H83" s="7">
        <f t="shared" si="1"/>
        <v>4.81218</v>
      </c>
      <c r="I83" s="4">
        <f t="shared" si="1"/>
        <v>0.331778944262268</v>
      </c>
    </row>
    <row r="84" spans="1:9">
      <c r="F84">
        <f t="shared" si="2"/>
        <v>0</v>
      </c>
      <c r="G84" s="7">
        <f t="shared" si="1"/>
        <v>0</v>
      </c>
      <c r="H84" s="7">
        <f t="shared" si="1"/>
        <v>0</v>
      </c>
      <c r="I84" s="4">
        <f t="shared" si="1"/>
        <v>0</v>
      </c>
    </row>
    <row r="85" spans="1:9">
      <c r="F85">
        <f t="shared" si="2"/>
        <v>0</v>
      </c>
      <c r="G85" s="7">
        <f t="shared" si="1"/>
        <v>0</v>
      </c>
      <c r="H85" s="7">
        <f t="shared" si="1"/>
        <v>0</v>
      </c>
      <c r="I85" s="4">
        <f t="shared" si="1"/>
        <v>0</v>
      </c>
    </row>
    <row r="95" ht="18" spans="1:9">
      <c r="A95" s="1" t="s">
        <v>130</v>
      </c>
      <c r="B95" s="1"/>
      <c r="C95" s="1"/>
      <c r="D95" s="1"/>
      <c r="E95" s="1"/>
    </row>
    <row r="96" spans="1:9">
      <c r="A96" t="s">
        <v>0</v>
      </c>
      <c r="B96" t="s">
        <v>131</v>
      </c>
      <c r="C96" t="s">
        <v>132</v>
      </c>
      <c r="D96" t="s">
        <v>133</v>
      </c>
      <c r="F96" t="str">
        <f>A96</f>
        <v>月份</v>
      </c>
      <c r="G96" t="str">
        <f>B96</f>
        <v> 开户数</v>
      </c>
      <c r="H96" t="str">
        <f>C96</f>
        <v> 客户总数</v>
      </c>
      <c r="I96" t="str">
        <f>D96</f>
        <v> 交易客户数</v>
      </c>
    </row>
    <row r="97" spans="1:9">
      <c r="A97" s="2" t="s">
        <v>98</v>
      </c>
      <c r="B97" s="5">
        <v>44</v>
      </c>
      <c r="C97" s="5">
        <v>5216</v>
      </c>
      <c r="D97" s="5">
        <v>625</v>
      </c>
      <c r="F97" t="str">
        <f t="shared" ref="F97:I108" si="3">A97</f>
        <v>2506W2</v>
      </c>
      <c r="G97">
        <f t="shared" si="3"/>
        <v>44</v>
      </c>
      <c r="H97">
        <f t="shared" si="3"/>
        <v>5216</v>
      </c>
      <c r="I97">
        <f t="shared" si="3"/>
        <v>625</v>
      </c>
    </row>
    <row r="98" spans="1:9">
      <c r="A98" s="2" t="s">
        <v>99</v>
      </c>
      <c r="B98" s="5">
        <v>32</v>
      </c>
      <c r="C98" s="5">
        <v>5247</v>
      </c>
      <c r="D98" s="5">
        <v>621</v>
      </c>
      <c r="F98" t="str">
        <f t="shared" si="3"/>
        <v>2506W3</v>
      </c>
      <c r="G98">
        <f t="shared" si="3"/>
        <v>32</v>
      </c>
      <c r="H98">
        <f t="shared" si="3"/>
        <v>5247</v>
      </c>
      <c r="I98">
        <f t="shared" si="3"/>
        <v>621</v>
      </c>
    </row>
    <row r="99" spans="1:9">
      <c r="A99" s="2" t="s">
        <v>100</v>
      </c>
      <c r="B99" s="5">
        <v>29</v>
      </c>
      <c r="C99" s="5">
        <v>5275</v>
      </c>
      <c r="D99" s="5">
        <v>607</v>
      </c>
      <c r="F99" t="str">
        <f t="shared" si="3"/>
        <v>2506W4</v>
      </c>
      <c r="G99">
        <f t="shared" si="3"/>
        <v>29</v>
      </c>
      <c r="H99">
        <f t="shared" si="3"/>
        <v>5275</v>
      </c>
      <c r="I99">
        <f t="shared" si="3"/>
        <v>607</v>
      </c>
    </row>
    <row r="100" spans="1:9">
      <c r="A100" s="2" t="s">
        <v>101</v>
      </c>
      <c r="B100" s="5">
        <v>45</v>
      </c>
      <c r="C100" s="5">
        <v>5319</v>
      </c>
      <c r="D100" s="5">
        <v>615</v>
      </c>
      <c r="F100" t="str">
        <f t="shared" si="3"/>
        <v>2507W1</v>
      </c>
      <c r="G100">
        <f t="shared" si="3"/>
        <v>45</v>
      </c>
      <c r="H100">
        <f t="shared" si="3"/>
        <v>5319</v>
      </c>
      <c r="I100">
        <f t="shared" si="3"/>
        <v>615</v>
      </c>
    </row>
    <row r="101" spans="1:9">
      <c r="A101" s="2" t="s">
        <v>102</v>
      </c>
      <c r="B101" s="5">
        <v>33</v>
      </c>
      <c r="C101" s="5">
        <v>5349</v>
      </c>
      <c r="D101" s="5">
        <v>632</v>
      </c>
      <c r="F101" t="str">
        <f t="shared" si="3"/>
        <v>2507W2</v>
      </c>
      <c r="G101">
        <f t="shared" si="3"/>
        <v>33</v>
      </c>
      <c r="H101">
        <f t="shared" si="3"/>
        <v>5349</v>
      </c>
      <c r="I101">
        <f t="shared" si="3"/>
        <v>632</v>
      </c>
    </row>
    <row r="102" spans="1:9">
      <c r="A102" s="2" t="s">
        <v>103</v>
      </c>
      <c r="B102" s="5">
        <v>35</v>
      </c>
      <c r="C102" s="5">
        <v>5379</v>
      </c>
      <c r="D102" s="5">
        <v>628</v>
      </c>
      <c r="F102" t="str">
        <f t="shared" si="3"/>
        <v>2507W3</v>
      </c>
      <c r="G102">
        <f t="shared" si="3"/>
        <v>35</v>
      </c>
      <c r="H102">
        <f t="shared" si="3"/>
        <v>5379</v>
      </c>
      <c r="I102">
        <f t="shared" si="3"/>
        <v>628</v>
      </c>
    </row>
    <row r="103" spans="1:9">
      <c r="A103" s="2" t="s">
        <v>104</v>
      </c>
      <c r="B103" s="5">
        <v>12</v>
      </c>
      <c r="C103" s="5">
        <v>5389</v>
      </c>
      <c r="D103" s="5">
        <v>646</v>
      </c>
      <c r="F103" t="str">
        <f t="shared" si="3"/>
        <v>2507W4</v>
      </c>
      <c r="G103">
        <f t="shared" si="3"/>
        <v>12</v>
      </c>
      <c r="H103">
        <f t="shared" si="3"/>
        <v>5389</v>
      </c>
      <c r="I103">
        <f t="shared" si="3"/>
        <v>646</v>
      </c>
    </row>
    <row r="104" spans="1:9">
      <c r="A104" s="2" t="s">
        <v>105</v>
      </c>
      <c r="B104" s="5">
        <v>8</v>
      </c>
      <c r="C104" s="5">
        <v>5394</v>
      </c>
      <c r="D104" s="5">
        <v>598</v>
      </c>
      <c r="F104" t="str">
        <f t="shared" si="3"/>
        <v>2508W1</v>
      </c>
      <c r="G104">
        <f t="shared" si="3"/>
        <v>8</v>
      </c>
      <c r="H104">
        <f t="shared" si="3"/>
        <v>5394</v>
      </c>
      <c r="I104">
        <f t="shared" si="3"/>
        <v>598</v>
      </c>
    </row>
    <row r="105" spans="1:9">
      <c r="A105" s="2" t="s">
        <v>106</v>
      </c>
      <c r="B105" s="5">
        <v>3</v>
      </c>
      <c r="C105" s="5">
        <v>5394</v>
      </c>
      <c r="D105" s="5">
        <v>532</v>
      </c>
      <c r="F105" t="str">
        <f t="shared" si="3"/>
        <v>2508W2</v>
      </c>
      <c r="G105">
        <f t="shared" si="3"/>
        <v>3</v>
      </c>
      <c r="H105">
        <f t="shared" si="3"/>
        <v>5394</v>
      </c>
      <c r="I105">
        <f t="shared" si="3"/>
        <v>532</v>
      </c>
    </row>
    <row r="106" spans="1:9">
      <c r="A106" s="2" t="s">
        <v>107</v>
      </c>
      <c r="B106" s="5">
        <v>7</v>
      </c>
      <c r="C106" s="5">
        <v>5399</v>
      </c>
      <c r="D106" s="5">
        <v>503</v>
      </c>
      <c r="F106" t="str">
        <f t="shared" si="3"/>
        <v>2508W3</v>
      </c>
      <c r="G106">
        <f t="shared" si="3"/>
        <v>7</v>
      </c>
      <c r="H106">
        <f t="shared" si="3"/>
        <v>5399</v>
      </c>
      <c r="I106">
        <f t="shared" si="3"/>
        <v>503</v>
      </c>
    </row>
    <row r="107" spans="1:9">
      <c r="A107" s="2" t="s">
        <v>108</v>
      </c>
      <c r="B107" s="5">
        <v>4</v>
      </c>
      <c r="C107" s="5">
        <v>5400</v>
      </c>
      <c r="D107" s="5">
        <v>482</v>
      </c>
      <c r="F107" t="str">
        <f t="shared" si="3"/>
        <v>2508W4</v>
      </c>
      <c r="G107">
        <f t="shared" si="3"/>
        <v>4</v>
      </c>
      <c r="H107">
        <f t="shared" si="3"/>
        <v>5400</v>
      </c>
      <c r="I107">
        <f t="shared" si="3"/>
        <v>482</v>
      </c>
    </row>
    <row r="108" spans="1:9">
      <c r="A108" s="2" t="s">
        <v>109</v>
      </c>
      <c r="B108" s="5">
        <v>9</v>
      </c>
      <c r="C108" s="5">
        <v>5405</v>
      </c>
      <c r="D108" s="5">
        <v>459</v>
      </c>
      <c r="F108" t="str">
        <f t="shared" si="3"/>
        <v>2508W5</v>
      </c>
      <c r="G108">
        <f t="shared" si="3"/>
        <v>9</v>
      </c>
      <c r="H108">
        <f t="shared" si="3"/>
        <v>5405</v>
      </c>
      <c r="I108">
        <f t="shared" si="3"/>
        <v>459</v>
      </c>
    </row>
    <row r="119" ht="18" spans="1:5">
      <c r="A119" s="1" t="s">
        <v>22</v>
      </c>
      <c r="B119" s="1"/>
      <c r="C119" s="1"/>
      <c r="D119" s="1"/>
      <c r="E119" s="1"/>
    </row>
    <row r="120" spans="1:5">
      <c r="A120" t="s">
        <v>0</v>
      </c>
      <c r="B120" t="s">
        <v>134</v>
      </c>
      <c r="C120" t="s">
        <v>135</v>
      </c>
    </row>
    <row r="121" spans="1:5">
      <c r="A121" s="2" t="s">
        <v>98</v>
      </c>
      <c r="B121" s="5">
        <v>84.607028</v>
      </c>
      <c r="C121" s="5">
        <v>50.264404</v>
      </c>
    </row>
    <row r="122" spans="1:5">
      <c r="A122" s="2" t="s">
        <v>99</v>
      </c>
      <c r="B122" s="5">
        <v>83.800577</v>
      </c>
      <c r="C122" s="5">
        <v>47.648414</v>
      </c>
    </row>
    <row r="123" spans="1:5">
      <c r="A123" s="2" t="s">
        <v>100</v>
      </c>
      <c r="B123" s="5">
        <v>65.639809</v>
      </c>
      <c r="C123" s="5">
        <v>35.587315</v>
      </c>
    </row>
    <row r="124" spans="1:5">
      <c r="A124" s="2" t="s">
        <v>101</v>
      </c>
      <c r="B124" s="5">
        <v>79.165482</v>
      </c>
      <c r="C124" s="5">
        <v>45.684298</v>
      </c>
    </row>
    <row r="125" spans="1:5">
      <c r="A125" s="2" t="s">
        <v>102</v>
      </c>
      <c r="B125" s="5">
        <v>100.368559</v>
      </c>
      <c r="C125" s="5">
        <v>61.302689</v>
      </c>
    </row>
    <row r="126" spans="1:5">
      <c r="A126" s="2" t="s">
        <v>103</v>
      </c>
      <c r="B126" s="5">
        <v>119.329231</v>
      </c>
      <c r="C126" s="5">
        <v>71.339916</v>
      </c>
    </row>
    <row r="127" spans="1:5">
      <c r="A127" s="2" t="s">
        <v>104</v>
      </c>
      <c r="B127" s="5">
        <v>195.148997</v>
      </c>
      <c r="C127" s="5">
        <v>120.45128</v>
      </c>
    </row>
    <row r="128" spans="1:5">
      <c r="A128" s="2" t="s">
        <v>105</v>
      </c>
      <c r="B128" s="5">
        <v>155.764663</v>
      </c>
      <c r="C128" s="5">
        <v>87.371232</v>
      </c>
    </row>
    <row r="129" spans="1:5">
      <c r="A129" s="2" t="s">
        <v>106</v>
      </c>
      <c r="B129" s="5">
        <v>69.21058</v>
      </c>
      <c r="C129" s="5">
        <v>33.440027</v>
      </c>
    </row>
    <row r="130" spans="1:5">
      <c r="A130" s="2" t="s">
        <v>107</v>
      </c>
      <c r="B130" s="5">
        <v>62.59588</v>
      </c>
      <c r="C130" s="5">
        <v>29.490962</v>
      </c>
    </row>
    <row r="131" spans="1:5">
      <c r="A131" s="2" t="s">
        <v>108</v>
      </c>
      <c r="B131" s="5">
        <v>66.891172</v>
      </c>
      <c r="C131" s="5">
        <v>23.288812</v>
      </c>
    </row>
    <row r="132" spans="1:5">
      <c r="A132" s="2" t="s">
        <v>109</v>
      </c>
      <c r="B132" s="5">
        <v>51.609405</v>
      </c>
      <c r="C132" s="5">
        <v>16.330599</v>
      </c>
    </row>
    <row r="139" spans="1:5">
      <c r="A139" s="9" t="s">
        <v>136</v>
      </c>
      <c r="B139" s="9" t="s">
        <v>137</v>
      </c>
      <c r="C139" s="9" t="s">
        <v>12</v>
      </c>
    </row>
    <row r="140" spans="1:5">
      <c r="A140" s="10" t="s">
        <v>138</v>
      </c>
      <c r="B140" s="10" t="s">
        <v>139</v>
      </c>
      <c r="C140" s="11">
        <v>62.1255</v>
      </c>
    </row>
    <row r="141" spans="1:5">
      <c r="A141" s="10" t="s">
        <v>140</v>
      </c>
      <c r="B141" s="10" t="s">
        <v>141</v>
      </c>
      <c r="C141" s="11">
        <v>51.572</v>
      </c>
    </row>
    <row r="142" spans="1:5">
      <c r="A142" s="10" t="s">
        <v>142</v>
      </c>
      <c r="B142" s="10" t="s">
        <v>143</v>
      </c>
      <c r="C142" s="11">
        <v>48.482</v>
      </c>
    </row>
    <row r="143" spans="1:5">
      <c r="A143" s="10" t="s">
        <v>144</v>
      </c>
      <c r="B143" s="10" t="s">
        <v>145</v>
      </c>
      <c r="C143" s="11">
        <v>32.594</v>
      </c>
    </row>
    <row r="144" spans="1:5">
      <c r="A144" s="10" t="s">
        <v>146</v>
      </c>
      <c r="B144" s="10" t="s">
        <v>147</v>
      </c>
      <c r="C144" s="11">
        <v>18.07</v>
      </c>
      <c r="E144" s="11">
        <v>10000</v>
      </c>
    </row>
    <row r="145" spans="1:5">
      <c r="A145" s="10" t="s">
        <v>148</v>
      </c>
      <c r="B145" s="10" t="s">
        <v>144</v>
      </c>
      <c r="C145" s="11">
        <v>-22.054</v>
      </c>
    </row>
    <row r="146" spans="1:5">
      <c r="A146" s="10" t="s">
        <v>149</v>
      </c>
      <c r="B146" s="10" t="s">
        <v>150</v>
      </c>
      <c r="C146" s="11">
        <v>-25.352</v>
      </c>
    </row>
    <row r="147" spans="1:5">
      <c r="A147" s="10" t="s">
        <v>151</v>
      </c>
      <c r="B147" s="10" t="s">
        <v>152</v>
      </c>
      <c r="C147" s="11">
        <v>-25.801</v>
      </c>
    </row>
    <row r="148" spans="1:5">
      <c r="A148" s="10" t="s">
        <v>143</v>
      </c>
      <c r="B148" s="10" t="s">
        <v>153</v>
      </c>
      <c r="C148" s="11">
        <v>-736.841</v>
      </c>
    </row>
    <row r="149" spans="1:5">
      <c r="A149" s="10" t="s">
        <v>153</v>
      </c>
      <c r="B149" s="10" t="s">
        <v>142</v>
      </c>
      <c r="C149" s="11">
        <v>-989.4125</v>
      </c>
    </row>
    <row r="152" spans="1:5">
      <c r="E152" t="s">
        <v>110</v>
      </c>
    </row>
    <row r="153" spans="1:5">
      <c r="A153" s="9" t="s">
        <v>136</v>
      </c>
      <c r="B153" s="9" t="s">
        <v>137</v>
      </c>
      <c r="C153" s="9" t="s">
        <v>154</v>
      </c>
    </row>
    <row r="154" spans="1:5">
      <c r="A154" s="10" t="s">
        <v>155</v>
      </c>
      <c r="B154" s="10" t="s">
        <v>142</v>
      </c>
      <c r="C154" s="11">
        <v>18057</v>
      </c>
    </row>
    <row r="155" spans="1:5">
      <c r="A155" s="10" t="s">
        <v>156</v>
      </c>
      <c r="B155" s="10" t="s">
        <v>153</v>
      </c>
      <c r="C155" s="11">
        <v>13381</v>
      </c>
    </row>
    <row r="156" spans="1:5">
      <c r="A156" s="10" t="s">
        <v>142</v>
      </c>
      <c r="B156" s="10" t="s">
        <v>152</v>
      </c>
      <c r="C156" s="11">
        <v>5751</v>
      </c>
    </row>
    <row r="157" spans="1:5">
      <c r="A157" s="10" t="s">
        <v>147</v>
      </c>
      <c r="B157" s="10" t="s">
        <v>157</v>
      </c>
      <c r="C157" s="11">
        <v>5218</v>
      </c>
    </row>
    <row r="158" spans="1:5">
      <c r="A158" s="10" t="s">
        <v>157</v>
      </c>
      <c r="B158" s="10" t="s">
        <v>158</v>
      </c>
      <c r="C158" s="11">
        <v>4417</v>
      </c>
    </row>
    <row r="159" spans="1:5">
      <c r="A159" s="10" t="s">
        <v>153</v>
      </c>
      <c r="B159" s="10" t="s">
        <v>147</v>
      </c>
      <c r="C159" s="11">
        <v>3572</v>
      </c>
    </row>
    <row r="160" spans="1:5">
      <c r="A160" s="10" t="s">
        <v>150</v>
      </c>
      <c r="B160" s="10" t="s">
        <v>159</v>
      </c>
      <c r="C160" s="11">
        <v>2471</v>
      </c>
    </row>
    <row r="161" spans="1:3">
      <c r="A161" s="10" t="s">
        <v>139</v>
      </c>
      <c r="B161" s="10" t="s">
        <v>156</v>
      </c>
      <c r="C161" s="11">
        <v>2214</v>
      </c>
    </row>
    <row r="162" spans="1:3">
      <c r="A162" s="10" t="s">
        <v>149</v>
      </c>
      <c r="B162" s="10" t="s">
        <v>138</v>
      </c>
      <c r="C162" s="11">
        <v>1895</v>
      </c>
    </row>
    <row r="163" spans="1:3">
      <c r="A163" s="10" t="s">
        <v>138</v>
      </c>
      <c r="B163" s="10" t="s">
        <v>150</v>
      </c>
      <c r="C163" s="11">
        <v>1716</v>
      </c>
    </row>
    <row r="164" spans="1:3">
      <c r="A164" s="12" t="s">
        <v>160</v>
      </c>
      <c r="B164" s="12" t="s">
        <v>160</v>
      </c>
      <c r="C164" s="11">
        <v>21137</v>
      </c>
    </row>
    <row r="166" spans="1:3">
      <c r="A166" s="9" t="s">
        <v>136</v>
      </c>
      <c r="B166" s="9" t="s">
        <v>137</v>
      </c>
      <c r="C166" s="9" t="s">
        <v>161</v>
      </c>
    </row>
    <row r="167" spans="1:3">
      <c r="A167" s="10" t="s">
        <v>153</v>
      </c>
      <c r="B167" s="10" t="s">
        <v>153</v>
      </c>
      <c r="C167" s="11">
        <v>17902.2</v>
      </c>
    </row>
    <row r="168" spans="1:3">
      <c r="A168" s="10" t="s">
        <v>142</v>
      </c>
      <c r="B168" s="10" t="s">
        <v>142</v>
      </c>
      <c r="C168" s="11">
        <v>15617.2</v>
      </c>
    </row>
    <row r="169" spans="1:3">
      <c r="A169" s="10" t="s">
        <v>138</v>
      </c>
      <c r="B169" s="10" t="s">
        <v>139</v>
      </c>
      <c r="C169" s="11">
        <v>2234.4</v>
      </c>
    </row>
    <row r="170" spans="1:3">
      <c r="A170" s="10" t="s">
        <v>155</v>
      </c>
      <c r="B170" s="10" t="s">
        <v>138</v>
      </c>
      <c r="C170" s="11">
        <v>1976.6</v>
      </c>
    </row>
    <row r="171" spans="1:3">
      <c r="A171" s="10" t="s">
        <v>144</v>
      </c>
      <c r="B171" s="10" t="s">
        <v>157</v>
      </c>
      <c r="C171" s="11">
        <v>1768</v>
      </c>
    </row>
    <row r="172" spans="1:3">
      <c r="A172" s="10" t="s">
        <v>162</v>
      </c>
      <c r="B172" s="10" t="s">
        <v>147</v>
      </c>
      <c r="C172" s="11">
        <v>991</v>
      </c>
    </row>
    <row r="173" spans="1:3">
      <c r="A173" s="10" t="s">
        <v>157</v>
      </c>
      <c r="B173" s="10" t="s">
        <v>144</v>
      </c>
      <c r="C173" s="11">
        <v>649.6</v>
      </c>
    </row>
    <row r="174" spans="1:3">
      <c r="A174" s="10" t="s">
        <v>143</v>
      </c>
      <c r="B174" s="10" t="s">
        <v>143</v>
      </c>
      <c r="C174" s="11">
        <v>623.8</v>
      </c>
    </row>
    <row r="175" spans="1:3">
      <c r="A175" s="10" t="s">
        <v>156</v>
      </c>
      <c r="B175" s="10" t="s">
        <v>152</v>
      </c>
      <c r="C175" s="11">
        <v>613.2</v>
      </c>
    </row>
    <row r="176" spans="1:3">
      <c r="A176" s="10" t="s">
        <v>140</v>
      </c>
      <c r="B176" s="10" t="s">
        <v>156</v>
      </c>
      <c r="C176" s="11">
        <v>603.8</v>
      </c>
    </row>
    <row r="177" spans="1:8">
      <c r="A177" s="12" t="s">
        <v>160</v>
      </c>
      <c r="B177" s="12" t="s">
        <v>160</v>
      </c>
      <c r="C177" s="11">
        <v>5142</v>
      </c>
    </row>
    <row r="180" spans="1:8">
      <c r="A180" s="13" t="s">
        <v>163</v>
      </c>
      <c r="B180" s="14" t="s">
        <v>12</v>
      </c>
      <c r="C180" s="14" t="s">
        <v>11</v>
      </c>
    </row>
    <row r="181" spans="1:8">
      <c r="A181" s="12" t="s">
        <v>164</v>
      </c>
      <c r="B181" s="11">
        <v>-1658.854</v>
      </c>
      <c r="C181" s="11">
        <v>-2650.153945</v>
      </c>
    </row>
    <row r="182" spans="1:8">
      <c r="A182" s="12" t="s">
        <v>116</v>
      </c>
      <c r="B182" s="11">
        <v>-1678.834</v>
      </c>
      <c r="C182" s="11">
        <v>-1270.994</v>
      </c>
    </row>
    <row r="183" spans="1:8">
      <c r="A183" s="12" t="s">
        <v>115</v>
      </c>
      <c r="B183" s="11">
        <v>23.788</v>
      </c>
      <c r="C183" s="11">
        <v>-959.216030000001</v>
      </c>
    </row>
    <row r="184" spans="1:8">
      <c r="A184" s="12" t="s">
        <v>114</v>
      </c>
      <c r="B184" s="11">
        <v>-3.808</v>
      </c>
      <c r="C184" s="11">
        <v>-419.943915</v>
      </c>
    </row>
    <row r="185" spans="1:8">
      <c r="H185" s="11">
        <v>10000</v>
      </c>
    </row>
    <row r="189" spans="1:8">
      <c r="E189" t="s">
        <v>110</v>
      </c>
    </row>
  </sheetData>
  <mergeCells count="6">
    <mergeCell ref="A1:E1"/>
    <mergeCell ref="A26:E26"/>
    <mergeCell ref="A47:E47"/>
    <mergeCell ref="A70:E70"/>
    <mergeCell ref="A95:E95"/>
    <mergeCell ref="A119:E119"/>
  </mergeCells>
  <pageMargins left="0.7" right="0.7" top="0.75" bottom="0.75" header="0.3" footer="0.3"/>
  <pageSetup paperSize="9" orientation="portrait"/>
  <headerFooter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ge</dc:creator>
  <cp:lastModifiedBy>Ewedihaleho</cp:lastModifiedBy>
  <dcterms:created xsi:type="dcterms:W3CDTF">2025-09-08T08:51:00Z</dcterms:created>
  <dcterms:modified xsi:type="dcterms:W3CDTF">2025-12-31T06:45:54Z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55AA3113D7CE421AB84A75B2E5F6C24F_13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